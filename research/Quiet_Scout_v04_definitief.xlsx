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iet Scout Analysemodel" sheetId="1" state="visible" r:id="rId3"/>
    <sheet name="Scorelegenda" sheetId="2" state="visible" r:id="rId4"/>
    <sheet name="Cluster Analyse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<sst xmlns="http://schemas.openxmlformats.org/spreadsheetml/2006/main" count="1195" uniqueCount="869">
  <si>
    <t xml:space="preserve">QUIET SCOUT v0.1 — Website Analysemodel</t>
  </si>
  <si>
    <t xml:space="preserve">BASIS</t>
  </si>
  <si>
    <t xml:space="preserve">OUDE INTERNETSTRUCTUREN  (score 1–5)</t>
  </si>
  <si>
    <t xml:space="preserve">MENTALE BELASTING  (score 1–5)</t>
  </si>
  <si>
    <t xml:space="preserve">BESLISSINGSZWAARTE  (score 1–5)</t>
  </si>
  <si>
    <t xml:space="preserve">QUIET WEB POTENTIE  (score 1–5)</t>
  </si>
  <si>
    <t xml:space="preserve">QUIET
SCORE</t>
  </si>
  <si>
    <t xml:space="preserve">FOUT-CONSEQUENTIE</t>
  </si>
  <si>
    <t xml:space="preserve">Website</t>
  </si>
  <si>
    <t xml:space="preserve">Categorie</t>
  </si>
  <si>
    <t xml:space="preserve">URL</t>
  </si>
  <si>
    <t xml:space="preserve">Filter-overload</t>
  </si>
  <si>
    <t xml:space="preserve">Vergelijk-stress</t>
  </si>
  <si>
    <t xml:space="preserve">Formulier-denken</t>
  </si>
  <si>
    <t xml:space="preserve">Verborgen logica</t>
  </si>
  <si>
    <t xml:space="preserve">Eindeloos scrollen</t>
  </si>
  <si>
    <t xml:space="preserve">Paginering-probleem</t>
  </si>
  <si>
    <t xml:space="preserve">Keuze-stress</t>
  </si>
  <si>
    <t xml:space="preserve">Systeem-denken</t>
  </si>
  <si>
    <t xml:space="preserve">Gebruiker doet het werk</t>
  </si>
  <si>
    <t xml:space="preserve">Begrips-
drempel</t>
  </si>
  <si>
    <t xml:space="preserve">Cognitieve druk</t>
  </si>
  <si>
    <t xml:space="preserve">Onzekerheid</t>
  </si>
  <si>
    <t xml:space="preserve">Hoeveelheid keuzes</t>
  </si>
  <si>
    <t xml:space="preserve">Hoeveelheid interpretatie</t>
  </si>
  <si>
    <t xml:space="preserve">Angst voor
fouten</t>
  </si>
  <si>
    <t xml:space="preserve">Financiële
impact</t>
  </si>
  <si>
    <t xml:space="preserve">Juridische
impact</t>
  </si>
  <si>
    <t xml:space="preserve">Kwetsbaar-
heid user</t>
  </si>
  <si>
    <t xml:space="preserve">Afhankelijk-
heid systeem</t>
  </si>
  <si>
    <t xml:space="preserve">Intentie vervangt filters</t>
  </si>
  <si>
    <t xml:space="preserve">AI reduceert keuzes</t>
  </si>
  <si>
    <t xml:space="preserve">AI begeleidt gebruiker</t>
  </si>
  <si>
    <t xml:space="preserve">Systeem kan rustiger</t>
  </si>
  <si>
    <t xml:space="preserve">Quiet Score</t>
  </si>
  <si>
    <t xml:space="preserve">Wat gebeurt er als de
gebruiker het fout begrijpt?</t>
  </si>
  <si>
    <t xml:space="preserve">Observatie 1 — oud patroon</t>
  </si>
  <si>
    <t xml:space="preserve">Observatie 2 — mentale last</t>
  </si>
  <si>
    <t xml:space="preserve">Observatie 3 — AI kans</t>
  </si>
  <si>
    <t xml:space="preserve">Observatie 4 — rustpotentie</t>
  </si>
  <si>
    <t xml:space="preserve">Positieve elementen</t>
  </si>
  <si>
    <t xml:space="preserve">Doelgroep</t>
  </si>
  <si>
    <t xml:space="preserve">Traffic inschatting</t>
  </si>
  <si>
    <t xml:space="preserve">Businessmodel</t>
  </si>
  <si>
    <t xml:space="preserve">Concurrenten</t>
  </si>
  <si>
    <t xml:space="preserve">Prioriteit voor Quiet Web</t>
  </si>
  <si>
    <t xml:space="preserve">Datum analyse</t>
  </si>
  <si>
    <t xml:space="preserve">funda.nl</t>
  </si>
  <si>
    <t xml:space="preserve">Vastgoed</t>
  </si>
  <si>
    <t xml:space="preserve">https://funda.nl</t>
  </si>
  <si>
    <t xml:space="preserve">Bod uitgebracht op basis van verkeerd begrepen energielabel of VvE-kosten. Contractueel bindend.</t>
  </si>
  <si>
    <t xml:space="preserve">23+ filteropties; gebruiker sorteert 800+ resultaten zelf</t>
  </si>
  <si>
    <t xml:space="preserve">Onzekerheid over 'woonhuis' vs 'eengezinswoning' — systeemtermen, geen gebruikerstermen</t>
  </si>
  <si>
    <t xml:space="preserve">Intentie 'rustig huis nabij school' kan alle filters vervangen</t>
  </si>
  <si>
    <t xml:space="preserve">Begeleide zoekflow op basis van situatie vervangt filterlade</t>
  </si>
  <si>
    <t xml:space="preserve">Grote fotoseries, kaartweergave, buurtinfo</t>
  </si>
  <si>
    <t xml:space="preserve">Huizenkopers 25–55</t>
  </si>
  <si>
    <t xml:space="preserve">Zeer hoog (837M p/j)</t>
  </si>
  <si>
    <t xml:space="preserve">Lead gen via makelaars</t>
  </si>
  <si>
    <t xml:space="preserve">Pararius, Husl, Walter Living</t>
  </si>
  <si>
    <t xml:space="preserve">Zeer hoog</t>
  </si>
  <si>
    <t xml:space="preserve">2025-05-18</t>
  </si>
  <si>
    <t xml:space="preserve">pararius.nl</t>
  </si>
  <si>
    <t xml:space="preserve">https://pararius.nl</t>
  </si>
  <si>
    <t xml:space="preserve">Huurcontract getekend bij verhuurder die listing al verwijderd had. Geen verhaal via platform.</t>
  </si>
  <si>
    <t xml:space="preserve">Gebruiker doorgestuurd naar makelaarsite: twee systemen leren</t>
  </si>
  <si>
    <t xml:space="preserve">Verborgen logica: verouderde listings blijven staan na verhuur</t>
  </si>
  <si>
    <t xml:space="preserve">Situatiecheck 'expat, 6 maanden, huisdier' → direct gefilterd aanbod</t>
  </si>
  <si>
    <t xml:space="preserve">Één flow van zoeken tot contactmoment, geen redirect naar externe sites</t>
  </si>
  <si>
    <t xml:space="preserve">Alerts werken goed, breed aanbod</t>
  </si>
  <si>
    <t xml:space="preserve">Huurders incl. expats</t>
  </si>
  <si>
    <t xml:space="preserve">Hoog</t>
  </si>
  <si>
    <t xml:space="preserve">Commissie makelaars</t>
  </si>
  <si>
    <t xml:space="preserve">Huurwoningen.nl, Funda huur</t>
  </si>
  <si>
    <t xml:space="preserve">Midden</t>
  </si>
  <si>
    <t xml:space="preserve">independer.nl</t>
  </si>
  <si>
    <t xml:space="preserve">Vergelijker</t>
  </si>
  <si>
    <t xml:space="preserve">https://independer.nl</t>
  </si>
  <si>
    <t xml:space="preserve">Verkeerd eigen risico gekozen = honderden euro's onverwachte kosten bij eerste zorggebruik.</t>
  </si>
  <si>
    <t xml:space="preserve">Gebruiker moet verzekeringssystematiek begrijpen vóór eerste keuze</t>
  </si>
  <si>
    <t xml:space="preserve">30+ opties zonder context wie wat nodig heeft; eigen risico veronderstelt marktkennis</t>
  </si>
  <si>
    <t xml:space="preserve">Situatiebeschrijving (chronisch ziek, fysiotherapeut) → directe aanbeveling</t>
  </si>
  <si>
    <t xml:space="preserve">Van vergelijkingstabel naar persoonlijk keuzegids</t>
  </si>
  <si>
    <t xml:space="preserve">Breed aanbod, sluitingsdatum automatisch</t>
  </si>
  <si>
    <t xml:space="preserve">Consumenten alle leeftijden</t>
  </si>
  <si>
    <t xml:space="preserve">Commissie per afsluiting</t>
  </si>
  <si>
    <t xml:space="preserve">Pricewise, Zorgwijzer, Consumentenbond</t>
  </si>
  <si>
    <t xml:space="preserve">gaslicht.com</t>
  </si>
  <si>
    <t xml:space="preserve">Energie</t>
  </si>
  <si>
    <t xml:space="preserve">https://gaslicht.com</t>
  </si>
  <si>
    <t xml:space="preserve">Variabel contract gekozen bij verkeerd marktmoment = energierekening verdubbeld.</t>
  </si>
  <si>
    <t xml:space="preserve">Invoer vereist kWh/m³ — getallen die gebruiker niet kent</t>
  </si>
  <si>
    <t xml:space="preserve">Vast vs variabel: marktkennis vereist voor verantwoorde keuze</t>
  </si>
  <si>
    <t xml:space="preserve">Woningtype + personen + postcode → direct beste deal zonder energiekennis</t>
  </si>
  <si>
    <t xml:space="preserve">Van tariefstabel naar situatieadvies in één stap</t>
  </si>
  <si>
    <t xml:space="preserve">Actuele tarieven, iDIN-koppeling verbruik</t>
  </si>
  <si>
    <t xml:space="preserve">Huishoudens 25–65</t>
  </si>
  <si>
    <t xml:space="preserve">Commissie energieleverancier</t>
  </si>
  <si>
    <t xml:space="preserve">Pricewise, Energievergelijk</t>
  </si>
  <si>
    <t xml:space="preserve">pricewise.nl</t>
  </si>
  <si>
    <t xml:space="preserve">https://pricewise.nl</t>
  </si>
  <si>
    <t xml:space="preserve">Overstap te snel gedaan zonder opzegtermijn = dubbele abonnementskosten.</t>
  </si>
  <si>
    <t xml:space="preserve">23 categorieën te vergelijken — breedte creëert oriëntatieparalyse</t>
  </si>
  <si>
    <t xml:space="preserve">Gebruiker weet niet bij welke categorie te beginnen; energie, zorg, telecom tegelijk</t>
  </si>
  <si>
    <t xml:space="preserve">Profiel 'huishouden, budget, prioriteiten' → gesorteerde actielijst</t>
  </si>
  <si>
    <t xml:space="preserve">Gelaagd: eerst meest urgente besparing, dan rest</t>
  </si>
  <si>
    <t xml:space="preserve">Exclusieve kortingen, breed aanbod</t>
  </si>
  <si>
    <t xml:space="preserve">Breed publiek, kostenbewust</t>
  </si>
  <si>
    <t xml:space="preserve">Independer, Gaslicht, Consumentenbond</t>
  </si>
  <si>
    <t xml:space="preserve">zorgwijzer.nl</t>
  </si>
  <si>
    <t xml:space="preserve">Zorg</t>
  </si>
  <si>
    <t xml:space="preserve">https://zorgwijzer.nl</t>
  </si>
  <si>
    <t xml:space="preserve">Verkeerde polis = fysiotherapeut of specialist niet vergoed. Pas ontdekt bij eerste declaratie na 1 januari.</t>
  </si>
  <si>
    <t xml:space="preserve">Naturapolis vs combinatiepolis: juridisch verschil, niet begrijpelijk voor leek</t>
  </si>
  <si>
    <t xml:space="preserve">Keuzemoment december: tijdsdruk + maximale onzekerheid gecombineerd</t>
  </si>
  <si>
    <t xml:space="preserve">Situatieprofiel (chronisch, gezond, gezin) → top-3 direct, zonder polis-jargon</t>
  </si>
  <si>
    <t xml:space="preserve">Geen tabel maar gesprek: 'wat gebruik je het meest?'</t>
  </si>
  <si>
    <t xml:space="preserve">Zorgexperts bereikbaar, automatisch opzeggen</t>
  </si>
  <si>
    <t xml:space="preserve">Zorgverzekerden NL, jaarlijks beslissmoment</t>
  </si>
  <si>
    <t xml:space="preserve">Zeer hoog (dec/jan)</t>
  </si>
  <si>
    <t xml:space="preserve">Commissie verzekeraar</t>
  </si>
  <si>
    <t xml:space="preserve">Independer, Consumentenbond, Poliswijzer</t>
  </si>
  <si>
    <t xml:space="preserve">nationalevacaturebank.nl</t>
  </si>
  <si>
    <t xml:space="preserve">Werk</t>
  </si>
  <si>
    <t xml:space="preserve">https://nationalevacaturebank.nl</t>
  </si>
  <si>
    <t xml:space="preserve">Sollicitatie ingediend op functie die al ingevuld was. Verwachtingen gewekt die niet kloppen.</t>
  </si>
  <si>
    <t xml:space="preserve">Vraagt functietitel terwijl gebruiker juist die zoekt</t>
  </si>
  <si>
    <t xml:space="preserve">Sectorkeuze sluit niet aan op hoe werkzoekenden denken</t>
  </si>
  <si>
    <t xml:space="preserve">Ambities + waarden + werkomgeving → passende vacatures zonder functietitel</t>
  </si>
  <si>
    <t xml:space="preserve">Begeleide oriëntatie vervangt zoekbalk</t>
  </si>
  <si>
    <t xml:space="preserve">Breed nationaal aanbod</t>
  </si>
  <si>
    <t xml:space="preserve">Werkzoekenden alle niveaus</t>
  </si>
  <si>
    <t xml:space="preserve">Advertenties/werving</t>
  </si>
  <si>
    <t xml:space="preserve">Indeed, LinkedIn, Werk.nl</t>
  </si>
  <si>
    <t xml:space="preserve">indeed.nl</t>
  </si>
  <si>
    <t xml:space="preserve">https://indeed.nl</t>
  </si>
  <si>
    <t xml:space="preserve">CV-data gedeeld met derde partijen. Lage directe consequentie.</t>
  </si>
  <si>
    <t xml:space="preserve">Eindeloos scrollen door gesponsorde + organische vacatures door elkaar</t>
  </si>
  <si>
    <t xml:space="preserve">Zelfde vacature van 5 uitzendbureaus: gebruiker telt dubbel</t>
  </si>
  <si>
    <t xml:space="preserve">Intentie + werkprofiel → relevantiescore per vacature</t>
  </si>
  <si>
    <t xml:space="preserve">Gesponsord scheiden van organisch; dubbelingen clusteren</t>
  </si>
  <si>
    <t xml:space="preserve">Groot bereik, snelle sollicitatie, bedrijfsreviews</t>
  </si>
  <si>
    <t xml:space="preserve">Breed, actieve werkzoekenden</t>
  </si>
  <si>
    <t xml:space="preserve">CPC advertenties</t>
  </si>
  <si>
    <t xml:space="preserve">LinkedIn, Nationalevacaturebank</t>
  </si>
  <si>
    <t xml:space="preserve">werkzoeken.nl</t>
  </si>
  <si>
    <t xml:space="preserve">https://werkzoeken.nl</t>
  </si>
  <si>
    <t xml:space="preserve">Geen sollicitatieplicht — vrijblijvend. Lage consequentie.</t>
  </si>
  <si>
    <t xml:space="preserve">Standaard vacaturebank-layout: zoekterm + regio, geen verdere begeleiding</t>
  </si>
  <si>
    <t xml:space="preserve">Beperkte filteropties; gebruiker zoekt op trefwoord zonder context</t>
  </si>
  <si>
    <t xml:space="preserve">Werkprofiel → aanbod zonder zoekterm</t>
  </si>
  <si>
    <t xml:space="preserve">Persoonlijke matching op basis van profiel</t>
  </si>
  <si>
    <t xml:space="preserve">Overzichtelijk, snel laden</t>
  </si>
  <si>
    <t xml:space="preserve">MBO/HBO werkzoekenden</t>
  </si>
  <si>
    <t xml:space="preserve">Advertenties</t>
  </si>
  <si>
    <t xml:space="preserve">Indeed, Nationalevacaturebank</t>
  </si>
  <si>
    <t xml:space="preserve">Laag</t>
  </si>
  <si>
    <t xml:space="preserve">belastingdienst.nl</t>
  </si>
  <si>
    <t xml:space="preserve">Overheid</t>
  </si>
  <si>
    <t xml:space="preserve">https://belastingdienst.nl</t>
  </si>
  <si>
    <t xml:space="preserve">Fout in aangifte leidt tot naheffing + rente. Bezwaar kost tijd en energie. Systeem is niet vergevingsgezind.</t>
  </si>
  <si>
    <t xml:space="preserve">Navigatie in ambtelijke categorieën: gebruiker zoekt taak, site biedt thema's</t>
  </si>
  <si>
    <t xml:space="preserve">DigiD-drempel + browser-eisen + formulierlogica = driedubbele barrière</t>
  </si>
  <si>
    <t xml:space="preserve">Taakgebaseerde ingang: 'ik wil aangifte doen' zonder voorkennis</t>
  </si>
  <si>
    <t xml:space="preserve">Prefill op basis van bekende gegevens; burger hoeft minder in te voeren</t>
  </si>
  <si>
    <t xml:space="preserve">Aangifte-app relatief eenvoudig; belastingtelefoon</t>
  </si>
  <si>
    <t xml:space="preserve">Alle belastingplichtige Nederlanders</t>
  </si>
  <si>
    <t xml:space="preserve">Geen directe concurrent</t>
  </si>
  <si>
    <t xml:space="preserve">Hoog (hoge AI-potentie)</t>
  </si>
  <si>
    <t xml:space="preserve">duo.nl</t>
  </si>
  <si>
    <t xml:space="preserve">https://duo.nl</t>
  </si>
  <si>
    <t xml:space="preserve">OV-kaart te laat stopgezet = maanden onterecht gebruik, terugvordering.</t>
  </si>
  <si>
    <t xml:space="preserve">Studenten zoeken 'lening aanvragen'; DUO biedt categoriestructuur van uitvoeringsorganisatie</t>
  </si>
  <si>
    <t xml:space="preserve">Begrippen als 'prestatiebeurs', 'basisbeurs' zijn intern jargon, niet de taal van de student</t>
  </si>
  <si>
    <t xml:space="preserve">Levenssituatie student → automatisch correct leenscenario zonder jargon</t>
  </si>
  <si>
    <t xml:space="preserve">Gepersonaliseerd dashboard: wat moet ik doen, wanneer, hoeveel</t>
  </si>
  <si>
    <t xml:space="preserve">Formulieren online afhandelbaar, berichten via MijnDUO</t>
  </si>
  <si>
    <t xml:space="preserve">Studenten, ex-studenten, instellingen</t>
  </si>
  <si>
    <t xml:space="preserve">uwv.nl</t>
  </si>
  <si>
    <t xml:space="preserve">https://uwv.nl</t>
  </si>
  <si>
    <t xml:space="preserve">Verkeerde regeling kiezen = geen uitkering of te lage uitkering. Bezwaarprocedure vergt maanden. Kwetsbare gebruiker draagt de fout.</t>
  </si>
  <si>
    <t xml:space="preserve">Gebruiker in kwetsbare situatie moet eerst uitvinden welke regeling voor hem geldt</t>
  </si>
  <si>
    <t xml:space="preserve">WW, WIA, Wajong, WAO — afkortingen onbegrijpelijk voor iemand die net werkloos is</t>
  </si>
  <si>
    <t xml:space="preserve">Situatie ('ik ben ontslagen, 3 jaar gewerkt') → direct juiste aanvraagflow</t>
  </si>
  <si>
    <t xml:space="preserve">Aanvraag automatisch gevuld op basis van arbeidsdossier</t>
  </si>
  <si>
    <t xml:space="preserve">Mijn UWV werkt redelijk, brief-notificaties aanwezig</t>
  </si>
  <si>
    <t xml:space="preserve">Werklozen, arbeidsongeschikten</t>
  </si>
  <si>
    <t xml:space="preserve">Zeer hoog (kwetsbare doelgroep)</t>
  </si>
  <si>
    <t xml:space="preserve">rijksoverheid.nl</t>
  </si>
  <si>
    <t xml:space="preserve">https://rijksoverheid.nl</t>
  </si>
  <si>
    <t xml:space="preserve">Informatie-site. Fout-gebruik heeft beperkte directe gevolgen.</t>
  </si>
  <si>
    <t xml:space="preserve">Informatieportaal geordend per ministerie, niet per levenssituatie</t>
  </si>
  <si>
    <t xml:space="preserve">Gebruiker weet niet welk ministerie verantwoordelijk is voor zijn vraag</t>
  </si>
  <si>
    <t xml:space="preserve">Levensgebeurtenis-ingang: 'ik ga samenwonen' → alle relevante info gebundeld</t>
  </si>
  <si>
    <t xml:space="preserve">Situatiegestuurd, niet ministerie-gestuurd</t>
  </si>
  <si>
    <t xml:space="preserve">Breed en betrouwbaar, zoekfunctie aanwezig</t>
  </si>
  <si>
    <t xml:space="preserve">Alle Nederlanders, informatiebehoefte</t>
  </si>
  <si>
    <t xml:space="preserve">booking.com</t>
  </si>
  <si>
    <t xml:space="preserve">Reizen</t>
  </si>
  <si>
    <t xml:space="preserve">https://booking.com</t>
  </si>
  <si>
    <t xml:space="preserve">Niet-restitueerbare boeking gemist = geld verloren bij annulering. Verborgen in kleine lettertjes.</t>
  </si>
  <si>
    <t xml:space="preserve">Urgency-manipulatie ('2 anderen kijken nu') verhoogt druk bij al complexe keuze</t>
  </si>
  <si>
    <t xml:space="preserve">Filter-overload: sterren, score, prijs, buurt, type, faciliteiten — allemaal tegelijk</t>
  </si>
  <si>
    <t xml:space="preserve">Reisbeschrijving ('stedentrip, 2 volwassenen, liever rustig') → gefilterd aanbod</t>
  </si>
  <si>
    <t xml:space="preserve">Van 3.4M opties naar 5 aanbevelingen zonder schuldgevoel</t>
  </si>
  <si>
    <t xml:space="preserve">Groot aanbod, gratis annulering breed beschikbaar</t>
  </si>
  <si>
    <t xml:space="preserve">Reizigers wereldwijd</t>
  </si>
  <si>
    <t xml:space="preserve">Commissie accommodatie</t>
  </si>
  <si>
    <t xml:space="preserve">Airbnb, Expedia, Trivago</t>
  </si>
  <si>
    <t xml:space="preserve">trivago.nl</t>
  </si>
  <si>
    <t xml:space="preserve">https://trivago.nl</t>
  </si>
  <si>
    <t xml:space="preserve">Prijsverschil bij redirect — financieel vervelend maar niet grote consequentie.</t>
  </si>
  <si>
    <t xml:space="preserve">Vergelijkt prijzen van sites — maar prijzen kloppen niet altijd door verborgen kosten</t>
  </si>
  <si>
    <t xml:space="preserve">Gebruiker denkt goedkoopste te kiezen maar betaalt meer dan bij direct boeken</t>
  </si>
  <si>
    <t xml:space="preserve">Reisprofiel + budget → eerlijke totaalprijs inclusief toeslagen</t>
  </si>
  <si>
    <t xml:space="preserve">Prijstransparantie: altijd totaalprijs tonen</t>
  </si>
  <si>
    <t xml:space="preserve">Breed hotelsaanbod, globale dekking</t>
  </si>
  <si>
    <t xml:space="preserve">Prijsbewuste reizigers</t>
  </si>
  <si>
    <t xml:space="preserve">CPC van boekingssites</t>
  </si>
  <si>
    <t xml:space="preserve">Booking.com, HotelsCombined</t>
  </si>
  <si>
    <t xml:space="preserve">ns.nl</t>
  </si>
  <si>
    <t xml:space="preserve">https://ns.nl</t>
  </si>
  <si>
    <t xml:space="preserve">Verkeerd tarief of abonnement gekozen = tientallen euro's te veel per maand.</t>
  </si>
  <si>
    <t xml:space="preserve">Reisplanner vraagt van/naar + tijd — maar gebruiker wil weten 'hoe kom ik het snelst'</t>
  </si>
  <si>
    <t xml:space="preserve">Verborgen logica: intercity vs sprinter vs IC direct — verschil niet uitgelegd</t>
  </si>
  <si>
    <t xml:space="preserve">Vertrek-intentie ('ik moet om 10u in Utrecht zijn') → optimaal reisadvies</t>
  </si>
  <si>
    <t xml:space="preserve">Proactief: 'jouw gebruikelijke reis is morgen vertraagd'</t>
  </si>
  <si>
    <t xml:space="preserve">App relatief goed, OV-chipkaart integratie</t>
  </si>
  <si>
    <t xml:space="preserve">Treinreizigers NL</t>
  </si>
  <si>
    <t xml:space="preserve">Abonnementen, losse kaartjes</t>
  </si>
  <si>
    <t xml:space="preserve">9292, Google Maps</t>
  </si>
  <si>
    <t xml:space="preserve">marktplaats.nl</t>
  </si>
  <si>
    <t xml:space="preserve">Marketplace</t>
  </si>
  <si>
    <t xml:space="preserve">https://marktplaats.nl</t>
  </si>
  <si>
    <t xml:space="preserve">Oplichting risico aanwezig maar niet systeemgebonden. Lage institutionele consequentie.</t>
  </si>
  <si>
    <t xml:space="preserve">Eindeloos scrollen door ongesorteerde mix van professioneel en particulier aanbod</t>
  </si>
  <si>
    <t xml:space="preserve">Verborgen logica: 'ophalen' filter geeft betere lokale resultaten — nergens uitgelegd</t>
  </si>
  <si>
    <t xml:space="preserve">Intentie-matching: 'ik zoek een kinderfiets onder €50 in Leiden'</t>
  </si>
  <si>
    <t xml:space="preserve">Persoonlijke feed op basis van zoekgedrag + locatie</t>
  </si>
  <si>
    <t xml:space="preserve">Groot aanbod, gratis plaatsen, lokale markt</t>
  </si>
  <si>
    <t xml:space="preserve">Breed NL publiek</t>
  </si>
  <si>
    <t xml:space="preserve">Advertenties, betaalde plaatsingen</t>
  </si>
  <si>
    <t xml:space="preserve">Vinted, Facebook Marketplace</t>
  </si>
  <si>
    <t xml:space="preserve">bol.com</t>
  </si>
  <si>
    <t xml:space="preserve">https://bol.com</t>
  </si>
  <si>
    <t xml:space="preserve">Retourbeleid duidelijk. Fout-consequentie laag.</t>
  </si>
  <si>
    <t xml:space="preserve">Productpagina's met tientallen specificaties — gebruiker weet niet wat relevant is</t>
  </si>
  <si>
    <t xml:space="preserve">Veel aanbieders per product: prijsverschillen klein maar niet verklaard</t>
  </si>
  <si>
    <t xml:space="preserve">Gebruiksprofiel → direct relevante productselectie</t>
  </si>
  <si>
    <t xml:space="preserve">Keuzehulp uitbreiden: 'voor wie, waarvoor' als standaard instap</t>
  </si>
  <si>
    <t xml:space="preserve">Keuzehulpen aanwezig, snelle levering, duidelijke UX — bewust controlepunt</t>
  </si>
  <si>
    <t xml:space="preserve">Brede consumentenmarkt NL/BE</t>
  </si>
  <si>
    <t xml:space="preserve">Marketplace commissie</t>
  </si>
  <si>
    <t xml:space="preserve">Coolblue, Amazon</t>
  </si>
  <si>
    <t xml:space="preserve">Laag (al relatief goed)</t>
  </si>
  <si>
    <t xml:space="preserve">autotrader.nl</t>
  </si>
  <si>
    <t xml:space="preserve">https://autotrader.nl</t>
  </si>
  <si>
    <t xml:space="preserve">Technische staat niet begrepen = dure reparaties na aankoop. Verkoper niet aansprakelijk bij 'zoals gezien'.</t>
  </si>
  <si>
    <t xml:space="preserve">Gebruiker moet merk + model kennen vóór zoeken — maar wil juist ontdekken</t>
  </si>
  <si>
    <t xml:space="preserve">Technische specs (pk, cilinder, brandstof) veronderstellen autoexpertise</t>
  </si>
  <si>
    <t xml:space="preserve">Gebruiksprofiel ('gezin, zuinig, €15k') → top-5 modellen met uitleg</t>
  </si>
  <si>
    <t xml:space="preserve">Geen merk kiezen nodig; AI matcht op situatie</t>
  </si>
  <si>
    <t xml:space="preserve">BOVAG-garantie badge, uitgebreide specs</t>
  </si>
  <si>
    <t xml:space="preserve">Autokopers NL</t>
  </si>
  <si>
    <t xml:space="preserve">Advertenties dealers</t>
  </si>
  <si>
    <t xml:space="preserve">AutoScout24, Gaspedaal</t>
  </si>
  <si>
    <t xml:space="preserve">bellen.com</t>
  </si>
  <si>
    <t xml:space="preserve">Telecom</t>
  </si>
  <si>
    <t xml:space="preserve">https://bellen.com</t>
  </si>
  <si>
    <t xml:space="preserve">Te weinig data gekozen = roaming of extra kosten. Te veel = geld verspild. Correctie kost administratie.</t>
  </si>
  <si>
    <t xml:space="preserve">Gebruiker moet zelf geschat verbruik in MB's invoeren — niemand denkt in MB's</t>
  </si>
  <si>
    <t xml:space="preserve">Sim only vs abonnement met toestel: financiële implicaties niet intuïtief</t>
  </si>
  <si>
    <t xml:space="preserve">Gebruiksprofiel ('ik stream video, rij veel, heb al een telefoon') → direct advies</t>
  </si>
  <si>
    <t xml:space="preserve">Geen MB-invoer: 'hoe gebruik je je telefoon?' is de vraag</t>
  </si>
  <si>
    <t xml:space="preserve">Experts bereikbaar, objectief advies</t>
  </si>
  <si>
    <t xml:space="preserve">Consumenten telecom NL</t>
  </si>
  <si>
    <t xml:space="preserve">Commissie providers</t>
  </si>
  <si>
    <t xml:space="preserve">Mobiel.nl, Consumentenbond</t>
  </si>
  <si>
    <t xml:space="preserve">mobiel.nl</t>
  </si>
  <si>
    <t xml:space="preserve">https://mobiel.nl</t>
  </si>
  <si>
    <t xml:space="preserve">BKR-registratie verrassing — financiële consequentie maar niet direct merkbaar.</t>
  </si>
  <si>
    <t xml:space="preserve">Toestel + abonnement combinatie: gebruiker vergelijkt losse componenten, niet totaalprijs</t>
  </si>
  <si>
    <t xml:space="preserve">BKR-registratie bij toestel &gt;€250 — verborgen juridische consequentie</t>
  </si>
  <si>
    <t xml:space="preserve">Situatiegericht: 'nieuwe iPhone, goedkoopst per maand' → eerlijk totaalaanbod</t>
  </si>
  <si>
    <t xml:space="preserve">Totaalkosten 2 jaar standaard tonen, niet per maand</t>
  </si>
  <si>
    <t xml:space="preserve">Snel leveren, goede Trustpilot-score</t>
  </si>
  <si>
    <t xml:space="preserve">Smartphones-kopers NL</t>
  </si>
  <si>
    <t xml:space="preserve">Marge op toestel + commissie</t>
  </si>
  <si>
    <t xml:space="preserve">Bellen.com, Provider direct</t>
  </si>
  <si>
    <t xml:space="preserve">zorgkiezer.nl</t>
  </si>
  <si>
    <t xml:space="preserve">https://zorgkiezer.nl</t>
  </si>
  <si>
    <t xml:space="preserve">Niet-gecontracteerde zorgverlener gekozen = lagere vergoeding. Verschil kan honderden euro's per behandeling zijn.</t>
  </si>
  <si>
    <t xml:space="preserve">Zorgverlener zoeken op BIG-registratie en AGB-code — patiënten-onbegrijpelijk</t>
  </si>
  <si>
    <t xml:space="preserve">Gebruiker weet niet of zijn huisarts 'gecontracteerd' is — heeft juridische gevolgen</t>
  </si>
  <si>
    <t xml:space="preserve">Symptoom of zorgbehoefte → directe verwijzing naar juiste zorgverlener type</t>
  </si>
  <si>
    <t xml:space="preserve">Transparantie wachttijden + contractstatus per verzekeraar automatisch</t>
  </si>
  <si>
    <t xml:space="preserve">Grote database zorgverleners NL</t>
  </si>
  <si>
    <t xml:space="preserve">Patiënten, zorgzoekers</t>
  </si>
  <si>
    <t xml:space="preserve">Overheid/zorgverzekeraars</t>
  </si>
  <si>
    <t xml:space="preserve">Zorgwijzer, Independer zorg</t>
  </si>
  <si>
    <t xml:space="preserve">mijnoverheid.nl</t>
  </si>
  <si>
    <t xml:space="preserve">https://mijn.overheid.nl</t>
  </si>
  <si>
    <t xml:space="preserve">Brief niet gelezen of niet begrepen = actie niet ondernomen, boete of verlies aanspraak.</t>
  </si>
  <si>
    <t xml:space="preserve">Berichtenbox toont overheidspost zonder context: wat moet ik hiermee doen?</t>
  </si>
  <si>
    <t xml:space="preserve">Burger ontvangt brief maar weet niet of actie vereist is, of slechts ter informatie</t>
  </si>
  <si>
    <t xml:space="preserve">Notificatie + uitleg + actiestap in één: 'uw paspoort verloopt, zo verlengt u het'</t>
  </si>
  <si>
    <t xml:space="preserve">Proactief, contextrijk, actiegericht ipv archief-dump</t>
  </si>
  <si>
    <t xml:space="preserve">Alles-op-één-plek principe is goed</t>
  </si>
  <si>
    <t xml:space="preserve">Alle Nederlanders 14+</t>
  </si>
  <si>
    <t xml:space="preserve">hypotheker.nl</t>
  </si>
  <si>
    <t xml:space="preserve">Financieel</t>
  </si>
  <si>
    <t xml:space="preserve">https://hypotheker.nl</t>
  </si>
  <si>
    <t xml:space="preserve">Rentevastperiode verkeerd begrepen = ongunstige herziening over 5 jaar.</t>
  </si>
  <si>
    <t xml:space="preserve">Oriënterende bezoeker moet NHG, annuïteiten, LTV begrijpen vóór eerste gesprek</t>
  </si>
  <si>
    <t xml:space="preserve">Hypotheekmarkt onbekend terrein: expert-taal van homepage tot offerte</t>
  </si>
  <si>
    <t xml:space="preserve">Situatie ('eerste huis, €400k, vast werk') → maximale lening + maandlast direct</t>
  </si>
  <si>
    <t xml:space="preserve">Lekentaal van A tot Z; expert pas nodig bij afsluiting</t>
  </si>
  <si>
    <t xml:space="preserve">Onafhankelijk, 40+ aanbieders</t>
  </si>
  <si>
    <t xml:space="preserve">Huizenkopers, oversluiters</t>
  </si>
  <si>
    <t xml:space="preserve">Adviesprovisie</t>
  </si>
  <si>
    <t xml:space="preserve">Viisi, Florius, bankdirect</t>
  </si>
  <si>
    <t xml:space="preserve">collegeduimpje.nl</t>
  </si>
  <si>
    <t xml:space="preserve">Onderwijs</t>
  </si>
  <si>
    <t xml:space="preserve">https://collegeduimpje.nl</t>
  </si>
  <si>
    <t xml:space="preserve">Studie gekozen op basis van onvolledig profiel. Verkeerde keuze kost een jaar + studieschuld.</t>
  </si>
  <si>
    <t xml:space="preserve">1000+ opleidingen: keuzestress op de zwaarst mogelijke beslissing in je leven</t>
  </si>
  <si>
    <t xml:space="preserve">Gebruiker weet niet welke criteria relevant zijn voor een goede studiekeuze</t>
  </si>
  <si>
    <t xml:space="preserve">Interessen + waarden + leerstijl → top-3 studies met bewijsonderbouwing</t>
  </si>
  <si>
    <t xml:space="preserve">Begeleide ontdekkingstocht ipv zoekmachine voor studies</t>
  </si>
  <si>
    <t xml:space="preserve">Studentreviews authentiek en nuttig</t>
  </si>
  <si>
    <t xml:space="preserve">Scholieren 16–20, ouders</t>
  </si>
  <si>
    <t xml:space="preserve">Advertenties, abonnementen instellingen</t>
  </si>
  <si>
    <t xml:space="preserve">Keuzegids, Studiekeuze123, Qompas</t>
  </si>
  <si>
    <t xml:space="preserve">geld.nl</t>
  </si>
  <si>
    <t xml:space="preserve">https://geld.nl</t>
  </si>
  <si>
    <t xml:space="preserve">Doorlopend krediet ipv persoonlijke lening: veel hogere rentekosten op lange termijn.</t>
  </si>
  <si>
    <t xml:space="preserve">Volledigste aanbod, maar ook volledigste hoeveelheid velden — gebruiker verdrinkt</t>
  </si>
  <si>
    <t xml:space="preserve">Financieel jargon: WA+beperkt casco, WA+allrisk, eigen risico keuze — zonder context</t>
  </si>
  <si>
    <t xml:space="preserve">Risicoprofiel ('nieuwe auto, weinig rijervaring') → direct juiste dekking, geen jargon</t>
  </si>
  <si>
    <t xml:space="preserve">Van vergelijkingstabel naar situatieadvies in twee stappen</t>
  </si>
  <si>
    <t xml:space="preserve">Onafhankelijk, grootste aanbod NL</t>
  </si>
  <si>
    <t xml:space="preserve">Consumenten financieel bewust</t>
  </si>
  <si>
    <t xml:space="preserve">Commissie verzekeraars/banken</t>
  </si>
  <si>
    <t xml:space="preserve">Independer, Pricewise, Poliswijzer</t>
  </si>
  <si>
    <t xml:space="preserve">skyscanner.nl</t>
  </si>
  <si>
    <t xml:space="preserve">https://skyscanner.nl</t>
  </si>
  <si>
    <t xml:space="preserve">Prijsverrassing bij redirect — vervelend, niet ernstig.</t>
  </si>
  <si>
    <t xml:space="preserve">Prijs bij klik hoger dan getoond — verborgen toeslagen bij boekingssite</t>
  </si>
  <si>
    <t xml:space="preserve">Gebruiker denkt goedkoopste gevonden te hebben maar betaalt meer bij redirect</t>
  </si>
  <si>
    <t xml:space="preserve">Totaalprijs inclusief bagage per persoon tonen; prijsgarantie of redirect-transparantie</t>
  </si>
  <si>
    <t xml:space="preserve">Eén klik naar definitieve boeking zonder prijsverandering</t>
  </si>
  <si>
    <t xml:space="preserve">Flexibele datums, prijsalarmen, goede UX voor vergelijken</t>
  </si>
  <si>
    <t xml:space="preserve">CPC door-click naar aanbieders</t>
  </si>
  <si>
    <t xml:space="preserve">Booking.com, Google Flights, Kayak</t>
  </si>
  <si>
    <t xml:space="preserve">zilverenkruis.nl</t>
  </si>
  <si>
    <t xml:space="preserve">https://zilverenkruis.nl</t>
  </si>
  <si>
    <t xml:space="preserve">Naturapolis gekozen terwijl gecontracteerde zorgverlener niet in netwerk zit. Vergoeding vervalt.</t>
  </si>
  <si>
    <t xml:space="preserve">Verzekeringspakketten heten 'Basis Start', 'Basis Zeker', 'Basis Exclusief' — namen zeggen niets</t>
  </si>
  <si>
    <t xml:space="preserve">Vergoedingenoverzicht: tabel van 50+ behandelingen met ja/nee/beperkt — gebruiker kan niet vergelijken</t>
  </si>
  <si>
    <t xml:space="preserve">Zorgprofiel → pakket op maat; 'past uw fysiotherapeut erbij?' direct beantwoord</t>
  </si>
  <si>
    <t xml:space="preserve">Geen pakketnamen maar situatietaal: 'voor gezonde jonge mensen' etc.</t>
  </si>
  <si>
    <t xml:space="preserve">Grote verzekeraar, brede dekking, Zorgcoach aanwezig</t>
  </si>
  <si>
    <t xml:space="preserve">Zorgverzekerden NL</t>
  </si>
  <si>
    <t xml:space="preserve">Zorgpremie</t>
  </si>
  <si>
    <t xml:space="preserve">CZ, Menzis, VGZ, Zorgwijzer</t>
  </si>
  <si>
    <t xml:space="preserve">werk.nl</t>
  </si>
  <si>
    <t xml:space="preserve">Werk/Overheid</t>
  </si>
  <si>
    <t xml:space="preserve">https://werk.nl</t>
  </si>
  <si>
    <t xml:space="preserve">Sollicitatieplicht niet nagekomen = uitkering stop. Systeem communiceert verplichtingen onduidelijk.</t>
  </si>
  <si>
    <t xml:space="preserve">Werkmap, cv uploaden, sollicitatieplicht bijhouden — drie taken in één systeem, geen begeleiding</t>
  </si>
  <si>
    <t xml:space="preserve">Gebruiker in stress-situatie (werkloos) moet uitvinden hoe systeem werkt</t>
  </si>
  <si>
    <t xml:space="preserve">Situatie ('ik ben ontslagen, wat nu?') → stap-voor-stap flow zonder UWV-taal</t>
  </si>
  <si>
    <t xml:space="preserve">Proactief: 'deze vacatures passen bij uw profiel, reageer vóór datum'</t>
  </si>
  <si>
    <t xml:space="preserve">Breed vacature-aanbod, werkmap-functie aanwezig</t>
  </si>
  <si>
    <t xml:space="preserve">Werkzoekenden met uitkering, kwetsbare groep</t>
  </si>
  <si>
    <t xml:space="preserve">coolblue.nl</t>
  </si>
  <si>
    <t xml:space="preserve">E-commerce</t>
  </si>
  <si>
    <t xml:space="preserve">https://coolblue.nl</t>
  </si>
  <si>
    <t xml:space="preserve">Retour mogelijk, garantie duidelijk. Fout-consequentie laag en herstelbaar.</t>
  </si>
  <si>
    <t xml:space="preserve">Productadvies aanwezig maar gebruiker moet zelf keuzehulp vinden</t>
  </si>
  <si>
    <t xml:space="preserve">Ondanks 'Coolblue's Keuze' label: productpagina's nog steeds vol specs</t>
  </si>
  <si>
    <t xml:space="preserve">Gebruik-gebaseerde instap: 'ik zoek een wasmachine voor 4 personen' → direct aanbeveling</t>
  </si>
  <si>
    <t xml:space="preserve">Keuzehulp als standaard instap, niet als verborgen optie</t>
  </si>
  <si>
    <t xml:space="preserve">Keuzehulpen, persoonlijk advies, snelle levering — bewust tweede controlepunt</t>
  </si>
  <si>
    <t xml:space="preserve">Consumenten elektronica NL/BE</t>
  </si>
  <si>
    <t xml:space="preserve">Retail marge</t>
  </si>
  <si>
    <t xml:space="preserve">Bol.com, MediaMarkt, Amazon</t>
  </si>
  <si>
    <t xml:space="preserve">Laag (al goed)</t>
  </si>
  <si>
    <t xml:space="preserve">thuisbezorgd.nl</t>
  </si>
  <si>
    <t xml:space="preserve">Food delivery</t>
  </si>
  <si>
    <t xml:space="preserve">https://thuisbezorgd.nl</t>
  </si>
  <si>
    <t xml:space="preserve">Bestelling bij verkeerd restaurant — lage consequentie, geld weg.</t>
  </si>
  <si>
    <t xml:space="preserve">Eindeloos scrollen door restaurants op volgorde van betaalde positie — niet op relevantie</t>
  </si>
  <si>
    <t xml:space="preserve">Gebruiker ziet prijs pas na toevoegen aan winkelwagen, bezorgkosten verborgen tot checkout</t>
  </si>
  <si>
    <t xml:space="preserve">Situatie ('pizza, snel, €20, geen minimumbestelling') → directe top-3</t>
  </si>
  <si>
    <t xml:space="preserve">Totaalprijs inclusief bezorgkosten direct tonen</t>
  </si>
  <si>
    <t xml:space="preserve">Breed aanbod, snelle interface, tracking</t>
  </si>
  <si>
    <t xml:space="preserve">Consumenten 18–35</t>
  </si>
  <si>
    <t xml:space="preserve">Commissie restaurants + bezorgkosten</t>
  </si>
  <si>
    <t xml:space="preserve">Uber Eats, Deliveroo</t>
  </si>
  <si>
    <t xml:space="preserve">airbnb.nl</t>
  </si>
  <si>
    <t xml:space="preserve">Reizen/Accommodation</t>
  </si>
  <si>
    <t xml:space="preserve">https://airbnb.nl</t>
  </si>
  <si>
    <t xml:space="preserve">Servicekosten verrassing bij checkout — financieel vervelend, niet herstelbaar na boeking.</t>
  </si>
  <si>
    <t xml:space="preserve">Servicekosten pas zichtbaar bij checkout: prijs stijgt 20-40% na klikken</t>
  </si>
  <si>
    <t xml:space="preserve">Eindeloos scrollen door kaart + lijstweergave — beide overweldigend</t>
  </si>
  <si>
    <t xml:space="preserve">Reisbeschrijving + budget inclusief kosten → eerlijk gefilterd aanbod</t>
  </si>
  <si>
    <t xml:space="preserve">Totaalprijs altijd inclusief servicekosten tonen</t>
  </si>
  <si>
    <t xml:space="preserve">Persoonlijke accommodaties, Airbnb Experiences</t>
  </si>
  <si>
    <t xml:space="preserve">Reizigers 25–45</t>
  </si>
  <si>
    <t xml:space="preserve">Servicekosten gast + commissie host</t>
  </si>
  <si>
    <t xml:space="preserve">Booking.com, Vrbo, Hotels.nl</t>
  </si>
  <si>
    <t xml:space="preserve">linkedin.nl</t>
  </si>
  <si>
    <t xml:space="preserve">Werk/Netwerk</t>
  </si>
  <si>
    <t xml:space="preserve">https://linkedin.nl</t>
  </si>
  <si>
    <t xml:space="preserve">Verkeerde privacy-instelling kan carrière beïnvloeden. Midden-consequentie.</t>
  </si>
  <si>
    <t xml:space="preserve">Eindeloos scrollen door feed die algoritmisch bepaald is — gebruiker niet in controle</t>
  </si>
  <si>
    <t xml:space="preserve">Verborgen logica: Premium features niet duidelijk afgebakend van gratis functionaliteit</t>
  </si>
  <si>
    <t xml:space="preserve">Carrièredoel → curated content, vacatures en connecties zonder scrollgedrag</t>
  </si>
  <si>
    <t xml:space="preserve">Intentiegedreven: 'ik zoek een nieuwe baan' activates focused mode</t>
  </si>
  <si>
    <t xml:space="preserve">Breed professioneel netwerk, InMail, vacatureplatform</t>
  </si>
  <si>
    <t xml:space="preserve">Professionals, werkzoekenden</t>
  </si>
  <si>
    <t xml:space="preserve">Premium abonnementen, advertenties</t>
  </si>
  <si>
    <t xml:space="preserve">Xing, Indeed, Glassdoor</t>
  </si>
  <si>
    <t xml:space="preserve">autoverzekering.nl</t>
  </si>
  <si>
    <t xml:space="preserve">https://autoverzekering.nl</t>
  </si>
  <si>
    <t xml:space="preserve">Beperkt casco gekozen terwijl auto rijschade heeft: eigen schade niet gedekt.</t>
  </si>
  <si>
    <t xml:space="preserve">WA, WA+beperkt, WA+allrisk: drie dekkingen met 10+ subvarianten elk</t>
  </si>
  <si>
    <t xml:space="preserve">Schadevrije jaren, dagwaarde, cataloguswaarde — automarkt-jargon vereist</t>
  </si>
  <si>
    <t xml:space="preserve">Auto + rijprofiel → direct juiste dekking aanbevolen, zonder verzekeringsjargon</t>
  </si>
  <si>
    <t xml:space="preserve">Eén vraag: 'hoe oud is je auto?' → direct WA of allrisk advies</t>
  </si>
  <si>
    <t xml:space="preserve">Meest complete vergelijker NL, autoriteit in categorie</t>
  </si>
  <si>
    <t xml:space="preserve">Automobilisten NL</t>
  </si>
  <si>
    <t xml:space="preserve">Commissie verzekeraars</t>
  </si>
  <si>
    <t xml:space="preserve">Independer, Geld.nl, Pricewise</t>
  </si>
  <si>
    <t xml:space="preserve">amsterdam.nl</t>
  </si>
  <si>
    <t xml:space="preserve">Gemeente</t>
  </si>
  <si>
    <t xml:space="preserve">https://amsterdam.nl</t>
  </si>
  <si>
    <t xml:space="preserve">Verkeerd formulier ingediend = aanvraag afgewezen, opnieuw beginnen, wachttijd verlengd.</t>
  </si>
  <si>
    <t xml:space="preserve">Navigatie per gemeentelijk taakveld, niet per levenssituatie van de burger</t>
  </si>
  <si>
    <t xml:space="preserve">Aanvragen, meldingen, vergunningen, subsidies — categorieën van de organisatie</t>
  </si>
  <si>
    <t xml:space="preserve">Levenssituatie-ingang: 'ik ga verhuizen naar Amsterdam' → alles op één plek</t>
  </si>
  <si>
    <t xml:space="preserve">Proactieve notificaties: 'uw paspoort verloopt over 3 maanden'</t>
  </si>
  <si>
    <t xml:space="preserve">Breed informatieaanbod, digitale afspraken mogelijk</t>
  </si>
  <si>
    <t xml:space="preserve">Amsterdammers en bezoekers</t>
  </si>
  <si>
    <t xml:space="preserve">gaspedaal.nl</t>
  </si>
  <si>
    <t xml:space="preserve">Automotive</t>
  </si>
  <si>
    <t xml:space="preserve">https://gaspedaal.nl</t>
  </si>
  <si>
    <t xml:space="preserve">Kosten rijklaar niet meegerekend = auto 800-1500 euro duurder dan verwacht bij dealer.</t>
  </si>
  <si>
    <t xml:space="preserve">Aggregeert aanbod van 1000+ dealers — duplicaten, inconsistente specs per dealer</t>
  </si>
  <si>
    <t xml:space="preserve">Prijs zonder kosten rijklaar, dealer-toeslag verborgen — sticker shock bij dealer</t>
  </si>
  <si>
    <t xml:space="preserve">Budget + gebruik → eerlijke totaalprijs inclusief kosten rijklaar</t>
  </si>
  <si>
    <t xml:space="preserve">Dealer-onafhankelijke totaalprijs en betrouwbaarheidsscore per auto</t>
  </si>
  <si>
    <t xml:space="preserve">Grootste automotive aggregator NL</t>
  </si>
  <si>
    <t xml:space="preserve">Autokopers NL breed</t>
  </si>
  <si>
    <t xml:space="preserve">CPC/leadgeneratie dealers</t>
  </si>
  <si>
    <t xml:space="preserve">AutoTrader, AutoScout24, Marktplaats</t>
  </si>
  <si>
    <t xml:space="preserve">ikbenviisi.nl</t>
  </si>
  <si>
    <t xml:space="preserve">https://ikbenviisi.nl</t>
  </si>
  <si>
    <t xml:space="preserve">Laag risico — moderne communicatie, fee-only, transparant. Fout-consequentie relatief beheersbaar.</t>
  </si>
  <si>
    <t xml:space="preserve">Relatief lage UX-frictie — transparant, mensgericht, fee-only model</t>
  </si>
  <si>
    <t xml:space="preserve">Hypotheekadvies blijft complex; gebruiker moet inkomenssituatie begrijpen</t>
  </si>
  <si>
    <t xml:space="preserve">Situatiegericht advies al grotendeels aanwezig — uitbreiden naar volledige self-service</t>
  </si>
  <si>
    <t xml:space="preserve">Digitale hypotheekflow die geen adviseur meer nodig maakt</t>
  </si>
  <si>
    <t xml:space="preserve">Fee-only, transparant, hoge klanttevredenheid — bewust tegenpool van hypotheker.nl</t>
  </si>
  <si>
    <t xml:space="preserve">Huizenkopers 25–45, digitaal vaardig</t>
  </si>
  <si>
    <t xml:space="preserve">De Hypotheker, Florius, Nationale Nederlanden</t>
  </si>
  <si>
    <t xml:space="preserve">Laag (al modern)</t>
  </si>
  <si>
    <t xml:space="preserve">ah.nl</t>
  </si>
  <si>
    <t xml:space="preserve">Supermarkt/E-commerce</t>
  </si>
  <si>
    <t xml:space="preserve">https://ah.nl</t>
  </si>
  <si>
    <t xml:space="preserve">Fout in boodschappen — herstelbaar. Minimale consequentie.</t>
  </si>
  <si>
    <t xml:space="preserve">Aanbiedingen niet automatisch gesorteerd op relevantie voor gebruiker</t>
  </si>
  <si>
    <t xml:space="preserve">Persoonlijke kortingen via bonuskaart verborgen achter login</t>
  </si>
  <si>
    <t xml:space="preserve">Boodschappenlijst op basis van kookplan + dieet → automatisch bestellen</t>
  </si>
  <si>
    <t xml:space="preserve">Van producten zoeken naar maaltijden plannen als instap</t>
  </si>
  <si>
    <t xml:space="preserve">Bezorging, herhaalbestellingen, breed assortiment</t>
  </si>
  <si>
    <t xml:space="preserve">Consumenten huishoudens NL</t>
  </si>
  <si>
    <t xml:space="preserve">Jumbo, Picnic, HelloFresh</t>
  </si>
  <si>
    <t xml:space="preserve">kpn.com</t>
  </si>
  <si>
    <t xml:space="preserve">https://kpn.com</t>
  </si>
  <si>
    <t xml:space="preserve">Combinatievoordeel vervalt bij kleine wijziging. Gebruiker betaalt ineens €20/mnd meer zonder het te weten.</t>
  </si>
  <si>
    <t xml:space="preserve">Alles-in-1 pakketten met 20+ combinaties — gebruiker moet zelf rekenen</t>
  </si>
  <si>
    <t xml:space="preserve">Combinatievoordeel verborgen in kleine lettertjes; vervalt bij abonnementswijziging</t>
  </si>
  <si>
    <t xml:space="preserve">Gebruik-profiel ('bel veel, thuis internet, 3 personen') → pakket direct aanbevolen</t>
  </si>
  <si>
    <t xml:space="preserve">Totaalkosten transparant tonen inclusief alle kortingen</t>
  </si>
  <si>
    <t xml:space="preserve">Grootst telecomnetwerk NL, brede dienstverlening</t>
  </si>
  <si>
    <t xml:space="preserve">Huishoudens, zakelijk NL</t>
  </si>
  <si>
    <t xml:space="preserve">Abonnementen</t>
  </si>
  <si>
    <t xml:space="preserve">Odido, Vodafone, Ziggo</t>
  </si>
  <si>
    <t xml:space="preserve">9292.nl</t>
  </si>
  <si>
    <t xml:space="preserve">OV/Reizen</t>
  </si>
  <si>
    <t xml:space="preserve">https://9292.nl</t>
  </si>
  <si>
    <t xml:space="preserve">Verkeerde trein nemen — herstelbaar. Lage consequentie.</t>
  </si>
  <si>
    <t xml:space="preserve">Reisplanner goed maar: geen context waarom alternatieve route beter kan zijn</t>
  </si>
  <si>
    <t xml:space="preserve">OV-chipkaart saldo niet zichtbaar in planningsflow — losgekoppeld systeem</t>
  </si>
  <si>
    <t xml:space="preserve">Vertrekintentie + OV-kaart status → complete reisadvies incl. saldowaarschuwing</t>
  </si>
  <si>
    <t xml:space="preserve">Proactieve melding: 'uw gebruikelijke trein heeft 12 minuten vertraging'</t>
  </si>
  <si>
    <t xml:space="preserve">Eenvoudige interface, betrouwbare data, goede app — tweede controlepunt</t>
  </si>
  <si>
    <t xml:space="preserve">OV-reizigers NL</t>
  </si>
  <si>
    <t xml:space="preserve">Overheid/NS/vervoerders</t>
  </si>
  <si>
    <t xml:space="preserve">NS, Google Maps</t>
  </si>
  <si>
    <t xml:space="preserve">Laag (al redelijk goed)</t>
  </si>
  <si>
    <t xml:space="preserve">toeslagen.nl</t>
  </si>
  <si>
    <t xml:space="preserve">https://toeslagen.nl</t>
  </si>
  <si>
    <t xml:space="preserve">Terugvordering van soms duizenden euro's, soms jaren later. Toeslagenaffaire toont aan: systeemfouten worden op de gebruiker verhaald.</t>
  </si>
  <si>
    <t xml:space="preserve">Toeslagpartner, toetsingsinkomen, terugvorderingen — elk begrip is een barrière</t>
  </si>
  <si>
    <t xml:space="preserve">Burger weet niet of hij recht heeft tot hij alles ingevuld heeft — pas dan volgt antwoord</t>
  </si>
  <si>
    <t xml:space="preserve">Situatieprofiel (huur, inkomen, gezin) → direct overzicht recht + bedrag</t>
  </si>
  <si>
    <t xml:space="preserve">Proactief: 'u heeft mogelijk recht op huurtoeslag, wilt u dat checken?'</t>
  </si>
  <si>
    <t xml:space="preserve">Proefberekening aanwezig</t>
  </si>
  <si>
    <t xml:space="preserve">Huurders, laag inkomen NL</t>
  </si>
  <si>
    <t xml:space="preserve">mijnpensioenoverzicht.nl</t>
  </si>
  <si>
    <t xml:space="preserve">Financieel/Overheid</t>
  </si>
  <si>
    <t xml:space="preserve">https://mijnpensioenoverzicht.nl</t>
  </si>
  <si>
    <t xml:space="preserve">Niet begrijpen = niets doen. Pensioengat ontstaat ongemerkt. Consequentie pas zichtbaar over tientallen jaren.</t>
  </si>
  <si>
    <t xml:space="preserve">UPO, AOW-gat, slapersrechten, dekkingsgraad — pensioenlandschap is jargon-jungle</t>
  </si>
  <si>
    <t xml:space="preserve">Gebruiker ziet getal maar begrijpt niet of het genoeg is, te weinig, of wat te doen</t>
  </si>
  <si>
    <t xml:space="preserve">Situatie-scanner: 'bent u op schema?' met concrete aanbeveling</t>
  </si>
  <si>
    <t xml:space="preserve">Handelingsperspectief: 'op basis van uw situatie raden we X aan'</t>
  </si>
  <si>
    <t xml:space="preserve">Totaaloverzicht alle pensioenen op één plek, DigiD-login</t>
  </si>
  <si>
    <t xml:space="preserve">Werkenden + gepensioneerden NL</t>
  </si>
  <si>
    <t xml:space="preserve">Overheid/Pensioenfederatie</t>
  </si>
  <si>
    <t xml:space="preserve">svb.nl</t>
  </si>
  <si>
    <t xml:space="preserve">https://svb.nl</t>
  </si>
  <si>
    <t xml:space="preserve">AOW te laat aangevraagd = uitkering start later. Niet met terugwerkende kracht.</t>
  </si>
  <si>
    <t xml:space="preserve">AOW, ANW, AKW, PGB-trekkingsrecht — SVB beheert meerdere regelingen met elk eigen jargon</t>
  </si>
  <si>
    <t xml:space="preserve">Burger weet niet welke SVB-dienst voor hem relevant is tot hij de hele site doorgespit heeft</t>
  </si>
  <si>
    <t xml:space="preserve">Levenssituatie-ingang: 'ik word 67' of 'mijn partner is overleden' → direct relevante informatie</t>
  </si>
  <si>
    <t xml:space="preserve">Proactieve AOW-aanvraag: systeem weet wanneer u 67 wordt</t>
  </si>
  <si>
    <t xml:space="preserve">Betrouwbaar, breed aanbod regelingen</t>
  </si>
  <si>
    <t xml:space="preserve">Ouderen, nabestaanden, pgb-houders NL</t>
  </si>
  <si>
    <t xml:space="preserve">rechtsbijstandverzekering.nl</t>
  </si>
  <si>
    <t xml:space="preserve">https://rechtsbijstandverzekering.nl</t>
  </si>
  <si>
    <t xml:space="preserve">Verkeerde module = juridisch conflict niet gedekt. Pas ontdekt als het conflict al loopt. Achteraf aanpassen niet mogelijk.</t>
  </si>
  <si>
    <t xml:space="preserve">Modules (consument, wonen, werk, verkeer) veronderstellen juridisch inzicht</t>
  </si>
  <si>
    <t xml:space="preserve">Gebruiker weet niet welke conflicten hij kan verwachten — kiest blind</t>
  </si>
  <si>
    <t xml:space="preserve">Levenssituatie + risicogevoel → direct module-advies zonder juridisch inzicht</t>
  </si>
  <si>
    <t xml:space="preserve">Van polis-opbouw naar 'dit is wat u nodig heeft'</t>
  </si>
  <si>
    <t xml:space="preserve">Gespecialiseerde vergelijker, uitgebreide uitleg</t>
  </si>
  <si>
    <t xml:space="preserve">Huizenbezitters, werknemers, consumenten</t>
  </si>
  <si>
    <t xml:space="preserve">verzekering.nl</t>
  </si>
  <si>
    <t xml:space="preserve">https://verzekering.nl</t>
  </si>
  <si>
    <t xml:space="preserve">Onderverzekerd = schade wordt niet vergoed. Oververzekerd = geld weggooien. Beide gevolgen ontdek je op het slechtste moment.</t>
  </si>
  <si>
    <t xml:space="preserve">Alle verzekeringstypen op één platform — volledigheid creëert oriëntatieverlamming</t>
  </si>
  <si>
    <t xml:space="preserve">Gebruiker weet niet of hij onderverzekerd of oververzekerd is — site geeft geen inzicht</t>
  </si>
  <si>
    <t xml:space="preserve">Verzekeringscheck: 'wat hebt u al, wat mist u?' op basis van levenssituatie</t>
  </si>
  <si>
    <t xml:space="preserve">Van losse polissen naar compleet beschermingsprofiel</t>
  </si>
  <si>
    <t xml:space="preserve">Breed, compleet aanbod, direct afsluiten</t>
  </si>
  <si>
    <t xml:space="preserve">Consumenten NL breed</t>
  </si>
  <si>
    <t xml:space="preserve">regelhulp.nl</t>
  </si>
  <si>
    <t xml:space="preserve">Overheid/Zorg</t>
  </si>
  <si>
    <t xml:space="preserve">https://regelhulp.nl</t>
  </si>
  <si>
    <t xml:space="preserve">Verkeerde zorgwet kiezen = verkeerd loket, vertraging, zorg niet vergoed. Mantelzorger draagt de gevolgen.</t>
  </si>
  <si>
    <t xml:space="preserve">WMO, Jeugdwet, Zvw, Wlz — vier wetten voor zorg, elk met ander loket</t>
  </si>
  <si>
    <t xml:space="preserve">Mantelzorger weet niet bij welke wet zijn situatie valt</t>
  </si>
  <si>
    <t xml:space="preserve">Zorgsituatie-scan ('mijn moeder heeft dementie') → direct juist loket + stappenplan</t>
  </si>
  <si>
    <t xml:space="preserve">Één ingang voor alle zorgwetten, gebaseerd op situatie niet wet</t>
  </si>
  <si>
    <t xml:space="preserve">Breed informatieaanbod, neutraal overheidspunt</t>
  </si>
  <si>
    <t xml:space="preserve">Mantelzorgers, zorgvragers NL</t>
  </si>
  <si>
    <t xml:space="preserve">Overheid (VWS)</t>
  </si>
  <si>
    <t xml:space="preserve">svb.nl/pgb</t>
  </si>
  <si>
    <t xml:space="preserve">https://svb.nl/pgb</t>
  </si>
  <si>
    <t xml:space="preserve">Zorgovereenkomst fout ingevuld = SVB betaalt niet uit. Zorgverlener werkt onbetaald. Budgethouder raakt zorg kwijt.</t>
  </si>
  <si>
    <t xml:space="preserve">Trekkingsrecht, zorgovereenkomst, budgethouder — PGB-systeem vereist administratieve expertise</t>
  </si>
  <si>
    <t xml:space="preserve">Kwetsbare mensen (ernstig ziek of zorgend voor zieke) worden geconfronteerd met bureaucratie</t>
  </si>
  <si>
    <t xml:space="preserve">PGB-begeleider: AI helpt bij complete administratie</t>
  </si>
  <si>
    <t xml:space="preserve">Automatische declaraties op basis van zorgovereenkomst</t>
  </si>
  <si>
    <t xml:space="preserve">Beschermt budgethouders, centrale betaling via SVB</t>
  </si>
  <si>
    <t xml:space="preserve">Mensen met beperking, mantelzorgers</t>
  </si>
  <si>
    <t xml:space="preserve">rdw.nl</t>
  </si>
  <si>
    <t xml:space="preserve">https://rdw.nl</t>
  </si>
  <si>
    <t xml:space="preserve">APK-plicht gemist = boete en auto van de weg. Buitenlands kenteken registratiefout = aansprakelijkheid.</t>
  </si>
  <si>
    <t xml:space="preserve">Kentekencheck, APK, keuringsplichten — voertuigregistratie in overheidsstructuur</t>
  </si>
  <si>
    <t xml:space="preserve">Gebruiker weet niet welke RDW-taak voor hem relevant is bij specifieke situatie</t>
  </si>
  <si>
    <t xml:space="preserve">Voertuig-situatie-ingang: 'ik koop een auto' → checklist kenteken/APK/verzekering</t>
  </si>
  <si>
    <t xml:space="preserve">Proactieve APK-herinnering via kenteken</t>
  </si>
  <si>
    <t xml:space="preserve">Kentekencheck populair, breed aanbod</t>
  </si>
  <si>
    <t xml:space="preserve">lelylaan.nl</t>
  </si>
  <si>
    <t xml:space="preserve">https://leningvergelijker.nl</t>
  </si>
  <si>
    <t xml:space="preserve">Persoonlijke lening, doorlopend krediet, roodstand — financieel jargon vereist</t>
  </si>
  <si>
    <t xml:space="preserve">Gebruiker weet niet of lening verstandig is — site vergelijkt alleen prijs</t>
  </si>
  <si>
    <t xml:space="preserve">Situatiebeoordeling: 'is lenen in uw situatie verstandig?' vóór vergelijken</t>
  </si>
  <si>
    <t xml:space="preserve">Van prijsvergelijker naar verantwoord-lenen-gids</t>
  </si>
  <si>
    <t xml:space="preserve">Breed aanbod, direct aanvragen</t>
  </si>
  <si>
    <t xml:space="preserve">Consumenten leningbehoefte NL</t>
  </si>
  <si>
    <t xml:space="preserve">Commissie kredietverstrekkers</t>
  </si>
  <si>
    <t xml:space="preserve">Geld.nl, Independer, Pricewise</t>
  </si>
  <si>
    <t xml:space="preserve">huurcommissie.nl</t>
  </si>
  <si>
    <t xml:space="preserve">Overheid/Wonen</t>
  </si>
  <si>
    <t xml:space="preserve">https://huurcommissie.nl</t>
  </si>
  <si>
    <t xml:space="preserve">Fout formulier indienen = zaak niet-ontvankelijk. Huurder verliest recht op uitspraak over te hoge huur.</t>
  </si>
  <si>
    <t xml:space="preserve">Huurprijscheck, servicekosten, gebreken, huurverhoging — elk traject ander formulier</t>
  </si>
  <si>
    <t xml:space="preserve">Huurder in conflict kent rechten niet — site veronderstelt juridische basiskennis</t>
  </si>
  <si>
    <t xml:space="preserve">Situatie-ingang: 'mijn verhuurder verhoogt de huur te veel' → direct juist formulier</t>
  </si>
  <si>
    <t xml:space="preserve">Automatische huurprijscheck op basis van adres + kenmerken woning</t>
  </si>
  <si>
    <t xml:space="preserve">Neutraal, gratis, wettelijke basis</t>
  </si>
  <si>
    <t xml:space="preserve">Huurders in conflict NL</t>
  </si>
  <si>
    <t xml:space="preserve">thuisarts.nl</t>
  </si>
  <si>
    <t xml:space="preserve">https://thuisarts.nl</t>
  </si>
  <si>
    <t xml:space="preserve">Symptomen verkeerd ingeschaald = huisarts te laat bezocht. Medische consequentie.</t>
  </si>
  <si>
    <t xml:space="preserve">Symptomenlijsten per aandoening — gebruiker moet zelf diagnose-richting kennen</t>
  </si>
  <si>
    <t xml:space="preserve">Onzekerheid: 'is dit ernstig?' — site geeft informatie maar geen geruststelling</t>
  </si>
  <si>
    <t xml:space="preserve">Symptoom-checker: 'wat voel ik?' → geruststellend advies + wanneer huisarts</t>
  </si>
  <si>
    <t xml:space="preserve">Triage-light: AI beoordeelt urgentie</t>
  </si>
  <si>
    <t xml:space="preserve">Betrouwbaar, NHG-richtlijnen, helder taalgebruik</t>
  </si>
  <si>
    <t xml:space="preserve">Patiënten NL, zelfzorg</t>
  </si>
  <si>
    <t xml:space="preserve">NHG/huisartsen</t>
  </si>
  <si>
    <t xml:space="preserve">Gezondheid.be, Dokter.nl</t>
  </si>
  <si>
    <t xml:space="preserve">zorgdomein.nl</t>
  </si>
  <si>
    <t xml:space="preserve">https://zorgdomein.nl</t>
  </si>
  <si>
    <t xml:space="preserve">Niet-gecontracteerde specialist gekozen = zorgverzekeraar vergoedt minder of niet.</t>
  </si>
  <si>
    <t xml:space="preserve">Verwijzingssysteem voor huisartsen en patiënten — patiënten navigeren in behandelaarsjargon</t>
  </si>
  <si>
    <t xml:space="preserve">Wachttijden, polikliniek, eerste lijn/tweede lijn — begrippen onbekend voor patiënt</t>
  </si>
  <si>
    <t xml:space="preserve">Zorgbehoefte + locatie → direct beste zorgverlener met wachttijd</t>
  </si>
  <si>
    <t xml:space="preserve">Transparante wachttijden + automatische verwijzing</t>
  </si>
  <si>
    <t xml:space="preserve">Efficiënt, breed zorgaanbod</t>
  </si>
  <si>
    <t xml:space="preserve">Patiënten, huisartsen NL</t>
  </si>
  <si>
    <t xml:space="preserve">Zorgverzekeraars/overheid</t>
  </si>
  <si>
    <t xml:space="preserve">Zorgwijzer, Zorgkiezer</t>
  </si>
  <si>
    <t xml:space="preserve">studielink.nl</t>
  </si>
  <si>
    <t xml:space="preserve">Onderwijs/Overheid</t>
  </si>
  <si>
    <t xml:space="preserve">https://studielink.nl</t>
  </si>
  <si>
    <t xml:space="preserve">Deadline gemist = jaar uitstuderen of numerus fixus verlopen. Niet herstelbaar binnen studiejaar.</t>
  </si>
  <si>
    <t xml:space="preserve">Inschrijving, aanmelding, numerus fixus, matching — studenten navigeren in hogeschooljargon</t>
  </si>
  <si>
    <t xml:space="preserve">Student weet niet wat de deadline is of wat er met zijn inschrijving kan gebeuren</t>
  </si>
  <si>
    <t xml:space="preserve">Geïntegreerde studiekeuze-aanmelding: 'ik ga studeren' → complete flow</t>
  </si>
  <si>
    <t xml:space="preserve">Proactieve deadline-meldingen, intake-matching</t>
  </si>
  <si>
    <t xml:space="preserve">Centrale aanmeldplek NL</t>
  </si>
  <si>
    <t xml:space="preserve">Aankomende studenten NL</t>
  </si>
  <si>
    <t xml:space="preserve">Overheid (DUO)</t>
  </si>
  <si>
    <t xml:space="preserve">Direct universiteit/hogeschool</t>
  </si>
  <si>
    <t xml:space="preserve">verbeterjehuis.nl</t>
  </si>
  <si>
    <t xml:space="preserve">Energie/Wonen</t>
  </si>
  <si>
    <t xml:space="preserve">https://verbeterjehuis.nl</t>
  </si>
  <si>
    <t xml:space="preserve">Verkeerde maatregel gekozen = subsidie misgelopen of investering niet rendabel.</t>
  </si>
  <si>
    <t xml:space="preserve">Subsidies, leningen, energielabels — verduurzaming heeft eigen begrippen per regeling</t>
  </si>
  <si>
    <t xml:space="preserve">Gebruiker weet niet welke maatregel voor hem rendabel is</t>
  </si>
  <si>
    <t xml:space="preserve">Woningprofiel → persoonlijk verduurzamingsplan met rendement en subsidies</t>
  </si>
  <si>
    <t xml:space="preserve">Van maatregelenlijst naar geprioriteerd actieplan</t>
  </si>
  <si>
    <t xml:space="preserve">ISDE-subsidie info, breed aanbod</t>
  </si>
  <si>
    <t xml:space="preserve">Woningeigenaren NL</t>
  </si>
  <si>
    <t xml:space="preserve">Overheid/subsidies</t>
  </si>
  <si>
    <t xml:space="preserve">Milieu Centraal, Nuon, Energie.nl</t>
  </si>
  <si>
    <t xml:space="preserve">kvk.nl</t>
  </si>
  <si>
    <t xml:space="preserve">Overheid/Zakelijk</t>
  </si>
  <si>
    <t xml:space="preserve">https://kvk.nl</t>
  </si>
  <si>
    <t xml:space="preserve">Verkeerde rechtsvorm gekozen = andere fiscale behandeling, aansprakelijkheid of oprichtingskosten.</t>
  </si>
  <si>
    <t xml:space="preserve">Inschrijven, SBI-codes, rechtsvorm — ondernemer start met onbekend administratief landschap</t>
  </si>
  <si>
    <t xml:space="preserve">Startende ondernemer weet niet welke rechtsvorm of SBI-code van toepassing is</t>
  </si>
  <si>
    <t xml:space="preserve">Ondernemerssituatie → direct juiste rechtsvorm + SBI-code + startchecklist</t>
  </si>
  <si>
    <t xml:space="preserve">Wizard: 'start je bedrijf in 10 minuten' zonder jargon</t>
  </si>
  <si>
    <t xml:space="preserve">Betrouwbaar, officieel register, breed informatieaanbod</t>
  </si>
  <si>
    <t xml:space="preserve">Startende ondernemers NL</t>
  </si>
  <si>
    <t xml:space="preserve">zzp-nederland.nl</t>
  </si>
  <si>
    <t xml:space="preserve">Zakelijk/Vergelijker</t>
  </si>
  <si>
    <t xml:space="preserve">https://zzp-nederland.nl</t>
  </si>
  <si>
    <t xml:space="preserve">Geen AOV afgesloten = bij ziekte direct zonder inkomen. Slechtste moment om te ontdekken.</t>
  </si>
  <si>
    <t xml:space="preserve">AOV, pensioen, zzp-hypotheek, btw-aangifte — zzp-er heeft geen HR-afdeling</t>
  </si>
  <si>
    <t xml:space="preserve">Zzp-er weet niet welke verzekeringen verplicht of verstandig zijn</t>
  </si>
  <si>
    <t xml:space="preserve">Zzp-profiel → compleet beschermingspakket met prioritering</t>
  </si>
  <si>
    <t xml:space="preserve">Van losse producten naar coherent zzp-beschermingsprofiel</t>
  </si>
  <si>
    <t xml:space="preserve">Breed, praktisch, zzp-specifiek</t>
  </si>
  <si>
    <t xml:space="preserve">Zzp-ers NL ~1.2M</t>
  </si>
  <si>
    <t xml:space="preserve">Commissie/advertenties</t>
  </si>
  <si>
    <t xml:space="preserve">Moneybird, Independer zzp, SNS</t>
  </si>
  <si>
    <t xml:space="preserve">transavia.com</t>
  </si>
  <si>
    <t xml:space="preserve">https://transavia.com</t>
  </si>
  <si>
    <t xml:space="preserve">Bagage-fout = extra kosten bij gate. Vervelend maar herstelbaar.</t>
  </si>
  <si>
    <t xml:space="preserve">Bagagebeleid, stoelkeuze, tariefklassen — vliegmaatschappij-opties veronderstellen kennis</t>
  </si>
  <si>
    <t xml:space="preserve">Totaalprijs pas na meerdere keuze-stappen zichtbaar</t>
  </si>
  <si>
    <t xml:space="preserve">Reisprofiel → direct totaalprijs inclusief bagage + stoel</t>
  </si>
  <si>
    <t xml:space="preserve">Eén prijs, geen verrassingen bij checkout</t>
  </si>
  <si>
    <t xml:space="preserve">Duidelijker dan LCC-gemiddelde, NL-georiënteerd</t>
  </si>
  <si>
    <t xml:space="preserve">Vakantiereizigers NL</t>
  </si>
  <si>
    <t xml:space="preserve">Vluchten, services</t>
  </si>
  <si>
    <t xml:space="preserve">easyJet, Ryanair, KLM</t>
  </si>
  <si>
    <t xml:space="preserve">thuiswinkel.org</t>
  </si>
  <si>
    <t xml:space="preserve">E-commerce/Keurmerk</t>
  </si>
  <si>
    <t xml:space="preserve">https://thuiswinkel.org</t>
  </si>
  <si>
    <t xml:space="preserve">Keurmerk-check. Geen directe transactionele gevolgen.</t>
  </si>
  <si>
    <t xml:space="preserve">Keurmerk-site — meer informatief dan transactioneel</t>
  </si>
  <si>
    <t xml:space="preserve">Gebruiker snapt onderscheid Thuiswinkel Waarborg vs andere keurmerken niet altijd</t>
  </si>
  <si>
    <t xml:space="preserve">Keurmerk-check bij twijfel over webshop</t>
  </si>
  <si>
    <t xml:space="preserve">Minimale interventie nodig — relatief laag patroon-DNA</t>
  </si>
  <si>
    <t xml:space="preserve">Vertrouwenssignaal voor consumenten</t>
  </si>
  <si>
    <t xml:space="preserve">Consumenten online shoppen NL</t>
  </si>
  <si>
    <t xml:space="preserve">Lidmaatschappen webshops</t>
  </si>
  <si>
    <t xml:space="preserve">Trustpilot, Kiyoh</t>
  </si>
  <si>
    <t xml:space="preserve">praxis.nl</t>
  </si>
  <si>
    <t xml:space="preserve">https://praxis.nl</t>
  </si>
  <si>
    <t xml:space="preserve">Verkeerd product gekocht — retourneerbaar. Lage consequentie.</t>
  </si>
  <si>
    <t xml:space="preserve">Productcategorieën op doe-het-zelf-manier — klant moet project kennen</t>
  </si>
  <si>
    <t xml:space="preserve">Klant weet niet welke producten hij nodig heeft voor een klus</t>
  </si>
  <si>
    <t xml:space="preserve">Klus-gebaseerde ingang: 'ik wil een muur schilderen' → complete boodschappenlijst</t>
  </si>
  <si>
    <t xml:space="preserve">Project-planning met materiaallijst</t>
  </si>
  <si>
    <t xml:space="preserve">Breed assortiment, winkellocaties</t>
  </si>
  <si>
    <t xml:space="preserve">Doe-het-zelvers NL</t>
  </si>
  <si>
    <t xml:space="preserve">Gamma, Hornbach, Bol.com</t>
  </si>
  <si>
    <t xml:space="preserve">consumentenbond.nl</t>
  </si>
  <si>
    <t xml:space="preserve">Vergelijker/Info</t>
  </si>
  <si>
    <t xml:space="preserve">https://consumentenbond.nl</t>
  </si>
  <si>
    <t xml:space="preserve">Informatief. Fout-gebruik heeft geen directe consequenties.</t>
  </si>
  <si>
    <t xml:space="preserve">Breed platform: verzekeringen, energie, elektronica — breedte zonder persoonlijke context</t>
  </si>
  <si>
    <t xml:space="preserve">Gebruiker weet niet welke test of vergelijker voor zijn situatie relevant is</t>
  </si>
  <si>
    <t xml:space="preserve">Situatie-ingang: 'ik overweeg te kopen/oversluiten/wisselen' → direct relevante test</t>
  </si>
  <si>
    <t xml:space="preserve">Persoonlijk profiel: welke categorieën zijn voor u actueel?</t>
  </si>
  <si>
    <t xml:space="preserve">Onafhankelijk, betrouwbaar, breed — sterk merk</t>
  </si>
  <si>
    <t xml:space="preserve">Consumenten NL breed, leden</t>
  </si>
  <si>
    <t xml:space="preserve">Lidmaatschappen</t>
  </si>
  <si>
    <t xml:space="preserve">QUIET SCOUT v0.4 — Dimensies, Score &amp; Belastingstypologie</t>
  </si>
  <si>
    <t xml:space="preserve">VIER DIMENSIES &amp; WEGING</t>
  </si>
  <si>
    <t xml:space="preserve">Dimensie</t>
  </si>
  <si>
    <t xml:space="preserve">Weging</t>
  </si>
  <si>
    <t xml:space="preserve">Wat het meet</t>
  </si>
  <si>
    <t xml:space="preserve">Oude internetstructuren (D-M)</t>
  </si>
  <si>
    <t xml:space="preserve">25%</t>
  </si>
  <si>
    <t xml:space="preserve">Filter-overload, formulierdenken, begripsdrempel etc.</t>
  </si>
  <si>
    <t xml:space="preserve">Mentale belasting (N-Q)</t>
  </si>
  <si>
    <t xml:space="preserve">20%</t>
  </si>
  <si>
    <t xml:space="preserve">Cognitieve druk, onzekerheid, interpretatie</t>
  </si>
  <si>
    <t xml:space="preserve">Beslissingszwaarte (R-V)</t>
  </si>
  <si>
    <t xml:space="preserve">30%</t>
  </si>
  <si>
    <t xml:space="preserve">Angst fouten, financieel, juridisch, kwetsbaarheid, afhankelijkheid</t>
  </si>
  <si>
    <t xml:space="preserve">Quiet Web potentie (W-Z)</t>
  </si>
  <si>
    <t xml:space="preserve">Mate waarin AI rust en intentie kan brengen</t>
  </si>
  <si>
    <t xml:space="preserve">DRIE TYPEN COGNITIEVE BELASTING</t>
  </si>
  <si>
    <t xml:space="preserve">Type</t>
  </si>
  <si>
    <t xml:space="preserve">Kenmerk</t>
  </si>
  <si>
    <t xml:space="preserve">Voorbeelden</t>
  </si>
  <si>
    <t xml:space="preserve">Mechanische belasting</t>
  </si>
  <si>
    <t xml:space="preserve">Hoog oud, laag bes</t>
  </si>
  <si>
    <t xml:space="preserve">Filters, scrollen, paginering — irritatie maar geen angst</t>
  </si>
  <si>
    <t xml:space="preserve">Cognitieve belasting</t>
  </si>
  <si>
    <t xml:space="preserve">Hoog oud + men</t>
  </si>
  <si>
    <t xml:space="preserve">Vergelijken, interpreteren, systeemtaal leren</t>
  </si>
  <si>
    <t xml:space="preserve">Existentiële belasting</t>
  </si>
  <si>
    <t xml:space="preserve">Hoog bes + men</t>
  </si>
  <si>
    <t xml:space="preserve">Angst verkeerde keuze, kwetsbaar moment, consequenties</t>
  </si>
  <si>
    <t xml:space="preserve">BESLISSINGSZWAARTE — SUBFACTOREN</t>
  </si>
  <si>
    <t xml:space="preserve">Angst voor fouten</t>
  </si>
  <si>
    <t xml:space="preserve">1-5</t>
  </si>
  <si>
    <t xml:space="preserve">1=geen gevolgen, 5=beslissing met grote persoonlijke impact</t>
  </si>
  <si>
    <t xml:space="preserve">Financiële impact</t>
  </si>
  <si>
    <t xml:space="preserve">1=nihil, 5=duizenden euro's of langdurig financieel gevolg</t>
  </si>
  <si>
    <t xml:space="preserve">Juridische impact</t>
  </si>
  <si>
    <t xml:space="preserve">1=geen, 5=langdurige juridische of administratieve consequenties</t>
  </si>
  <si>
    <t xml:space="preserve">Kwetsbaarheid gebruiker</t>
  </si>
  <si>
    <t xml:space="preserve">1=neutraal, 5=gebruiker in stressvolle/kwetsbare levenssituatie</t>
  </si>
  <si>
    <t xml:space="preserve">Afhankelijkheid systeem</t>
  </si>
  <si>
    <t xml:space="preserve">1=vrijblijvend, 5=verplicht gebruik, geen alternatief</t>
  </si>
  <si>
    <t xml:space="preserve">QUIET SCORE INTERPRETATIE</t>
  </si>
  <si>
    <t xml:space="preserve">1.0 – 2.0</t>
  </si>
  <si>
    <t xml:space="preserve">Weinig oud gedrag, lage belasting, beperkte kans</t>
  </si>
  <si>
    <t xml:space="preserve">2.1 – 3.0</t>
  </si>
  <si>
    <t xml:space="preserve">Gemiddeld: aanwezig maar niet dominant</t>
  </si>
  <si>
    <t xml:space="preserve">3.1 – 4.0</t>
  </si>
  <si>
    <t xml:space="preserve">Duidelijke patronen, echte kans voor Quiet Web</t>
  </si>
  <si>
    <t xml:space="preserve">4.1 – 5.0</t>
  </si>
  <si>
    <t xml:space="preserve">Top</t>
  </si>
  <si>
    <t xml:space="preserve">Prioriteit: hoge belasting én hoge AI-potentie</t>
  </si>
  <si>
    <t xml:space="preserve">BELASTING-TYPOLOGIE CLUSTERS (v0.4)</t>
  </si>
  <si>
    <t xml:space="preserve">Existentieel cluster</t>
  </si>
  <si>
    <t xml:space="preserve">Score 3.9-4.5</t>
  </si>
  <si>
    <t xml:space="preserve">uwv, toeslagen, regelhulp, svb/pgb, hypotheker, werk.nl</t>
  </si>
  <si>
    <t xml:space="preserve">Cognitief cluster</t>
  </si>
  <si>
    <t xml:space="preserve">Score 3.8-4.5</t>
  </si>
  <si>
    <t xml:space="preserve">independer, geld, zorgwijzer, autotrader, rechtsbijstand</t>
  </si>
  <si>
    <t xml:space="preserve">Mechanisch cluster</t>
  </si>
  <si>
    <t xml:space="preserve">Score 3.5-4.0</t>
  </si>
  <si>
    <t xml:space="preserve">booking, gaslicht, pricewise, funda, marktplaats</t>
  </si>
  <si>
    <t xml:space="preserve">Modern (controlepunt)</t>
  </si>
  <si>
    <t xml:space="preserve">Score 2.0-2.5</t>
  </si>
  <si>
    <t xml:space="preserve">coolblue, bol.com, 9292, thuiswinkel, praxis</t>
  </si>
  <si>
    <t xml:space="preserve">KERNZIN QUIET WEB</t>
  </si>
  <si>
    <t xml:space="preserve">Oude websites vragen gebruikers om zich aan te passen aan systeemstructuren.</t>
  </si>
  <si>
    <t xml:space="preserve">Quiet Web past systeemstructuren aan op menselijke intentie.</t>
  </si>
  <si>
    <t xml:space="preserve">NIEUW INZICHT v0.4</t>
  </si>
  <si>
    <t xml:space="preserve">Niet alle cognitieve belasting is hetzelfde. Existentiële belasting</t>
  </si>
  <si>
    <t xml:space="preserve">(angst + kwetsbaarheid + afhankelijkheid) is fundamenteel zwaarder</t>
  </si>
  <si>
    <t xml:space="preserve">dan mechanische of cognitieve belasting — en AI kan hier</t>
  </si>
  <si>
    <t xml:space="preserve">psychologische rust brengen, niet alleen gemak.</t>
  </si>
  <si>
    <t xml:space="preserve">QUIET SCOUT — Cluster Analyse v0.2  |  40 sites</t>
  </si>
  <si>
    <t xml:space="preserve">Cluster</t>
  </si>
  <si>
    <t xml:space="preserve">Q-Score</t>
  </si>
  <si>
    <t xml:space="preserve">Oud</t>
  </si>
  <si>
    <t xml:space="preserve">Mentaal</t>
  </si>
  <si>
    <t xml:space="preserve">AI-pot</t>
  </si>
  <si>
    <t xml:space="preserve">Prioriteit</t>
  </si>
  <si>
    <t xml:space="preserve">Kernobservatie</t>
  </si>
  <si>
    <t xml:space="preserve">  VERGELIJKINGSARCHITECTUREN</t>
  </si>
  <si>
    <t xml:space="preserve">HOOG</t>
  </si>
  <si>
    <t xml:space="preserve">Volledigste aanbod én de meeste velden — gebruiker verdrinkt</t>
  </si>
  <si>
    <t xml:space="preserve">Naturapolis vs combinatiepolis: juridisch, geen gebruikerstaal</t>
  </si>
  <si>
    <t xml:space="preserve">23 categorieën — breedte creëert oriëntatieparalyse</t>
  </si>
  <si>
    <t xml:space="preserve">WA/allrisk-jargon veronderstelt automarktkennis</t>
  </si>
  <si>
    <t xml:space="preserve">Invoer in kWh/m³ — gebruiker kent die getallen niet</t>
  </si>
  <si>
    <t xml:space="preserve">↑ Gem. 6 sites</t>
  </si>
  <si>
    <t xml:space="preserve">  FINANCIEEL &amp; LEVENSBESLUITEN</t>
  </si>
  <si>
    <t xml:space="preserve">NHG, annuïteiten, LTV begrijpen vóór eerste gesprek</t>
  </si>
  <si>
    <t xml:space="preserve">BIG-registratie, AGB-code — patiëntenjargon</t>
  </si>
  <si>
    <t xml:space="preserve">MIDDEN</t>
  </si>
  <si>
    <t xml:space="preserve">Pakketnamen zeggen niets; vergoedingentabel onbegrijpelijk</t>
  </si>
  <si>
    <t xml:space="preserve">LAAG</t>
  </si>
  <si>
    <t xml:space="preserve">Al relatief modern — ijkpunt voor Quiet Web</t>
  </si>
  <si>
    <t xml:space="preserve">↑ Gem. 4 sites</t>
  </si>
  <si>
    <t xml:space="preserve">  VASTGOEDZOEKSTRUCTUREN</t>
  </si>
  <si>
    <t xml:space="preserve">23+ filteropties; 800+ resultaten; gebruiker doet het sorteren</t>
  </si>
  <si>
    <t xml:space="preserve">Redirect naar makelaarsite: gebruiker leert twee systemen</t>
  </si>
  <si>
    <t xml:space="preserve">↑ Gem. 2 sites</t>
  </si>
  <si>
    <t xml:space="preserve">  FORMULIERBUREAUCRATIE</t>
  </si>
  <si>
    <t xml:space="preserve">ZEER HOOG</t>
  </si>
  <si>
    <t xml:space="preserve">Kwetsbare doelgroep + WW/WIA-jargon: maximale toegangsdrempel</t>
  </si>
  <si>
    <t xml:space="preserve">Ambtelijke navigatie + DigiD + browsereisen = driedubbele barrière</t>
  </si>
  <si>
    <t xml:space="preserve">Prestatiebeurs, basisbeurs — intern jargon, niet studenttaal</t>
  </si>
  <si>
    <t xml:space="preserve">Navigatie per taakveld, niet per levenssituatie burger</t>
  </si>
  <si>
    <t xml:space="preserve">Berichtenbox zonder context: moet ik actie nemen?</t>
  </si>
  <si>
    <t xml:space="preserve">Informatieportaal per ministerie, niet per levenssituatie</t>
  </si>
  <si>
    <t xml:space="preserve">  WERK &amp; FILTERMODELLEN</t>
  </si>
  <si>
    <t xml:space="preserve">Kwetsbaar moment + sollicitatieplicht + systeemtaal</t>
  </si>
  <si>
    <t xml:space="preserve">Vraagt functietitel terwijl gebruiker die juist zoekt</t>
  </si>
  <si>
    <t xml:space="preserve">Algoritmische feed; Premium vs gratis onduidelijk</t>
  </si>
  <si>
    <t xml:space="preserve">Zelfde vacature 5x van uitzendbureaus</t>
  </si>
  <si>
    <t xml:space="preserve">Standaard vacaturebank; beperkte begeleiding</t>
  </si>
  <si>
    <t xml:space="preserve">↑ Gem. 5 sites</t>
  </si>
  <si>
    <t xml:space="preserve">  REIZEN &amp; BOOKING</t>
  </si>
  <si>
    <t xml:space="preserve">Urgency-manipulatie verhoogt druk bij al complexe keuze</t>
  </si>
  <si>
    <t xml:space="preserve">Servicekosten pas bij checkout: prijs stijgt 20-40%</t>
  </si>
  <si>
    <t xml:space="preserve">Prijzen kloppen niet door verborgen kosten bij redirect</t>
  </si>
  <si>
    <t xml:space="preserve">Prijs bij klik hoger dan getoond — verborgen toeslagen</t>
  </si>
  <si>
    <t xml:space="preserve">OV-chipkaart saldo losgekoppeld van planningsflow</t>
  </si>
  <si>
    <t xml:space="preserve">  MARKETPLACE &amp; SCROLLSYSTEMEN</t>
  </si>
  <si>
    <t xml:space="preserve">Moet merk+model kennen vóór zoeken — wil juist ontdekken</t>
  </si>
  <si>
    <t xml:space="preserve">Kosten rijklaar verborgen; sticker shock bij dealer</t>
  </si>
  <si>
    <t xml:space="preserve">Restaurants op betaalde positie, niet relevantie</t>
  </si>
  <si>
    <t xml:space="preserve">'Ophalen' filter beter — verborgen logica</t>
  </si>
  <si>
    <t xml:space="preserve">Relatief goed — bewust controlepunt</t>
  </si>
  <si>
    <t xml:space="preserve">  TELECOM</t>
  </si>
  <si>
    <t xml:space="preserve">Gebruiker moet MB-verbruik schatten — niemand denkt in MB's</t>
  </si>
  <si>
    <t xml:space="preserve">20+ pakketcombinaties; combinatievoordeel verborgen</t>
  </si>
  <si>
    <t xml:space="preserve">BKR-registratie bij toestel &gt;€250 — verborgen juridisch</t>
  </si>
  <si>
    <t xml:space="preserve">↑ Gem. 3 sites</t>
  </si>
  <si>
    <t xml:space="preserve">  E-COMMERCE (MODERN)</t>
  </si>
  <si>
    <t xml:space="preserve">Keuzehulp aanwezig maar verborgen — controlepunt</t>
  </si>
  <si>
    <t xml:space="preserve">Persoonlijke kortingen verborgen achter login</t>
  </si>
  <si>
    <t xml:space="preserve">  ONDERWIJS</t>
  </si>
  <si>
    <t xml:space="preserve">1000+ opleidingen: keuzestress op zwaarste levensbeslissing</t>
  </si>
  <si>
    <t xml:space="preserve">↑ Gem. 1 sites</t>
  </si>
  <si>
    <t xml:space="preserve">  STRUCTURELE BEVINDINGEN — 40 SITES</t>
  </si>
  <si>
    <t xml:space="preserve">Dominant patroon</t>
  </si>
  <si>
    <t xml:space="preserve">'Gebruiker doet het werk' gem. 4.25 over 40 sites — meest universele oud-internet-DNA</t>
  </si>
  <si>
    <t xml:space="preserve">Sterkste cluster</t>
  </si>
  <si>
    <t xml:space="preserve">Vergelijkingsarchitecturen: gem. Q-Score 4.4 — hoogste mentale last én AI-potentie</t>
  </si>
  <si>
    <t xml:space="preserve">Meest urgent</t>
  </si>
  <si>
    <t xml:space="preserve">Formulierbureaucratie: hoog op onzekerheid + kwetsbare doelgroepen (UWV, DUO)</t>
  </si>
  <si>
    <t xml:space="preserve">Sweet spot (5 sites)</t>
  </si>
  <si>
    <t xml:space="preserve">gaslicht, zorgwijzer, booking, autotrader, hypotheker — mentaal 5.0 + AI-intentie 5</t>
  </si>
  <si>
    <t xml:space="preserve">Controlepunten bevestigd</t>
  </si>
  <si>
    <t xml:space="preserve">coolblue 2.3 / ah.nl 2.5 / 9292 2.4 — model discrimineert goed vs oud</t>
  </si>
  <si>
    <t xml:space="preserve">Nieuw patroon</t>
  </si>
  <si>
    <t xml:space="preserve">'Toegangsdrempel': gebruiker weet niet wat hij moet weten vóór hij kan beginnen</t>
  </si>
  <si>
    <t xml:space="preserve">Trap-3 richting</t>
  </si>
  <si>
    <t xml:space="preserve">Vergelijkingsarchitecturen + Financieel: hoog traffic, max belasting, veel geld</t>
  </si>
  <si>
    <t xml:space="preserve">QUIET SCOUT — Dashboard (40 sites)</t>
  </si>
  <si>
    <t xml:space="preserve">Overzicht geanalyseerde websites</t>
  </si>
  <si>
    <t xml:space="preserve">Oud patroon gem.</t>
  </si>
  <si>
    <t xml:space="preserve">Mentale last gem.</t>
  </si>
  <si>
    <t xml:space="preserve">AI potentie gem.</t>
  </si>
  <si>
    <t xml:space="preserve">GEMIDDELD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</si>
</sst>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1F2D3D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2D3D"/>
        <bgColor rgb="FF1F3864"/>
      </patternFill>
    </fill>
    <fill>
      <patternFill patternType="solid">
        <fgColor rgb="FF2E4057"/>
        <bgColor rgb="FF1F3864"/>
      </patternFill>
    </fill>
    <fill>
      <patternFill patternType="solid">
        <fgColor rgb="FFD85A30"/>
        <bgColor rgb="FFBA7517"/>
      </patternFill>
    </fill>
    <fill>
      <patternFill patternType="solid">
        <fgColor rgb="FFBA7517"/>
        <bgColor rgb="FFE67E22"/>
      </patternFill>
    </fill>
    <fill>
      <patternFill patternType="solid">
        <fgColor rgb="FF7F1D1D"/>
        <bgColor rgb="FF800000"/>
      </patternFill>
    </fill>
    <fill>
      <patternFill patternType="solid">
        <fgColor rgb="FF534AB7"/>
        <bgColor rgb="FF3C3489"/>
      </patternFill>
    </fill>
    <fill>
      <patternFill patternType="solid">
        <fgColor rgb="FF1F3864"/>
        <bgColor rgb="FF2E4057"/>
      </patternFill>
    </fill>
    <fill>
      <patternFill patternType="solid">
        <fgColor rgb="FFF7F7F5"/>
        <bgColor rgb="FFF1EFE8"/>
      </patternFill>
    </fill>
    <fill>
      <patternFill patternType="solid">
        <fgColor rgb="FF1E8449"/>
        <bgColor rgb="FF0F6E56"/>
      </patternFill>
    </fill>
    <fill>
      <patternFill patternType="solid">
        <fgColor rgb="FFF1C40F"/>
        <bgColor rgb="FFFF9900"/>
      </patternFill>
    </fill>
    <fill>
      <patternFill patternType="solid">
        <fgColor rgb="FF27AE60"/>
        <bgColor rgb="FF1E8449"/>
      </patternFill>
    </fill>
    <fill>
      <patternFill patternType="solid">
        <fgColor rgb="FFE67E22"/>
        <bgColor rgb="FFBA7517"/>
      </patternFill>
    </fill>
    <fill>
      <patternFill patternType="solid">
        <fgColor rgb="FFEDECEA"/>
        <bgColor rgb="FFF1EFE8"/>
      </patternFill>
    </fill>
    <fill>
      <patternFill patternType="solid">
        <fgColor rgb="FFC0392B"/>
        <bgColor rgb="FF993C1D"/>
      </patternFill>
    </fill>
    <fill>
      <patternFill patternType="solid">
        <fgColor rgb="FFD3D1C7"/>
        <bgColor rgb="FFC8C5BF"/>
      </patternFill>
    </fill>
    <fill>
      <patternFill patternType="solid">
        <fgColor rgb="FF0F6E56"/>
        <bgColor rgb="FF1E8449"/>
      </patternFill>
    </fill>
    <fill>
      <patternFill patternType="solid">
        <fgColor rgb="FF993C1D"/>
        <bgColor rgb="FF854F0B"/>
      </patternFill>
    </fill>
    <fill>
      <patternFill patternType="solid">
        <fgColor rgb="FF27500A"/>
        <bgColor rgb="FF2E4057"/>
      </patternFill>
    </fill>
    <fill>
      <patternFill patternType="solid">
        <fgColor rgb="FF3C3489"/>
        <bgColor rgb="FF1F3864"/>
      </patternFill>
    </fill>
    <fill>
      <patternFill patternType="solid">
        <fgColor rgb="FF185FA5"/>
        <bgColor rgb="FF0F6E56"/>
      </patternFill>
    </fill>
    <fill>
      <patternFill patternType="solid">
        <fgColor rgb="FF854F0B"/>
        <bgColor rgb="FF993C1D"/>
      </patternFill>
    </fill>
    <fill>
      <patternFill patternType="solid">
        <fgColor rgb="FF5F5E5A"/>
        <bgColor rgb="FF534AB7"/>
      </patternFill>
    </fill>
    <fill>
      <patternFill patternType="solid">
        <fgColor rgb="FFF1EFE8"/>
        <bgColor rgb="FFEDEC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C5BF"/>
      </left>
      <right style="thin">
        <color rgb="FFC8C5BF"/>
      </right>
      <top style="thin">
        <color rgb="FFC8C5BF"/>
      </top>
      <bottom style="thin">
        <color rgb="FFC8C5BF"/>
      </bottom>
      <diagonal/>
    </border>
    <border diagonalUp="false" diagonalDown="false">
      <left style="thin">
        <color rgb="FFC8C5BF"/>
      </left>
      <right style="thin">
        <color rgb="FFC8C5BF"/>
      </right>
      <top style="thin">
        <color rgb="FFC8C5BF"/>
      </top>
      <bottom style="medium">
        <color rgb="FF888780"/>
      </bottom>
      <diagonal/>
    </border>
    <border diagonalUp="false" diagonalDown="false">
      <left style="thin">
        <color rgb="FFC8C5BF"/>
      </left>
      <right/>
      <top style="thin">
        <color rgb="FFC8C5BF"/>
      </top>
      <bottom style="thin">
        <color rgb="FFC8C5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BA7517"/>
      <rgbColor rgb="FF800080"/>
      <rgbColor rgb="FF0F6E56"/>
      <rgbColor rgb="FFC8C5BF"/>
      <rgbColor rgb="FF888780"/>
      <rgbColor rgb="FF9999FF"/>
      <rgbColor rgb="FFC0392B"/>
      <rgbColor rgb="FFF7F7F5"/>
      <rgbColor rgb="FFEDECEA"/>
      <rgbColor rgb="FF660066"/>
      <rgbColor rgb="FFD85A30"/>
      <rgbColor rgb="FF185FA5"/>
      <rgbColor rgb="FFD3D1C7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534AB7"/>
      <rgbColor rgb="FF33CCCC"/>
      <rgbColor rgb="FF99CC00"/>
      <rgbColor rgb="FFF1C40F"/>
      <rgbColor rgb="FFFF9900"/>
      <rgbColor rgb="FFE67E22"/>
      <rgbColor rgb="FF5F5E5A"/>
      <rgbColor rgb="FF969696"/>
      <rgbColor rgb="FF1F3864"/>
      <rgbColor rgb="FF27AE60"/>
      <rgbColor rgb="FF2E4057"/>
      <rgbColor rgb="FF27500A"/>
      <rgbColor rgb="FF993C1D"/>
      <rgbColor rgb="FF854F0B"/>
      <rgbColor rgb="FF3C348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11" min="4" style="1" width="11"/>
    <col collapsed="false" customWidth="true" hidden="false" outlineLevel="0" max="12" min="12" style="1" width="13"/>
    <col collapsed="false" customWidth="true" hidden="false" outlineLevel="0" max="14" min="13" style="1" width="11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14"/>
    <col collapsed="false" customWidth="true" hidden="false" outlineLevel="0" max="25" min="18" style="1" width="10"/>
    <col collapsed="false" customWidth="true" hidden="false" outlineLevel="0" max="26" min="26" style="1" width="25"/>
    <col collapsed="false" customWidth="true" hidden="false" outlineLevel="0" max="28" min="27" style="1" width="9"/>
    <col collapsed="false" customWidth="true" hidden="false" outlineLevel="0" max="29" min="29" style="1" width="20"/>
    <col collapsed="false" customWidth="true" hidden="false" outlineLevel="0" max="30" min="30" style="1" width="22"/>
    <col collapsed="false" customWidth="true" hidden="false" outlineLevel="0" max="31" min="31" style="1" width="18"/>
    <col collapsed="false" customWidth="true" hidden="false" outlineLevel="0" max="32" min="32" style="1" width="14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21.75" hidden="false" customHeight="true" outlineLevel="0" collapsed="false">
      <c r="A2" s="3" t="s">
        <v>1</v>
      </c>
      <c r="B2" s="3"/>
      <c r="C2" s="3"/>
      <c r="D2" s="4" t="s">
        <v>2</v>
      </c>
      <c r="E2" s="4"/>
      <c r="F2" s="4"/>
      <c r="G2" s="4"/>
      <c r="H2" s="4"/>
      <c r="I2" s="4"/>
      <c r="J2" s="4"/>
      <c r="K2" s="4"/>
      <c r="L2" s="4"/>
      <c r="M2" s="4"/>
      <c r="N2" s="5" t="s">
        <v>3</v>
      </c>
      <c r="O2" s="5"/>
      <c r="P2" s="5"/>
      <c r="Q2" s="5"/>
      <c r="R2" s="6" t="s">
        <v>4</v>
      </c>
      <c r="S2" s="6"/>
      <c r="T2" s="6"/>
      <c r="U2" s="6"/>
      <c r="V2" s="6"/>
      <c r="W2" s="7" t="s">
        <v>5</v>
      </c>
      <c r="X2" s="7"/>
      <c r="Y2" s="7"/>
      <c r="Z2" s="7"/>
      <c r="AA2" s="8" t="s">
        <v>6</v>
      </c>
      <c r="AB2" s="9" t="s">
        <v>7</v>
      </c>
    </row>
    <row r="3" customFormat="false" ht="48" hidden="false" customHeight="true" outlineLevel="0" collapsed="false">
      <c r="A3" s="10" t="s">
        <v>8</v>
      </c>
      <c r="B3" s="10" t="s">
        <v>9</v>
      </c>
      <c r="C3" s="10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12" t="s">
        <v>20</v>
      </c>
      <c r="N3" s="13" t="s">
        <v>21</v>
      </c>
      <c r="O3" s="13" t="s">
        <v>22</v>
      </c>
      <c r="P3" s="13" t="s">
        <v>23</v>
      </c>
      <c r="Q3" s="13" t="s">
        <v>24</v>
      </c>
      <c r="R3" s="14" t="s">
        <v>25</v>
      </c>
      <c r="S3" s="14" t="s">
        <v>26</v>
      </c>
      <c r="T3" s="14" t="s">
        <v>27</v>
      </c>
      <c r="U3" s="14" t="s">
        <v>28</v>
      </c>
      <c r="V3" s="14" t="s">
        <v>29</v>
      </c>
      <c r="W3" s="15" t="s">
        <v>30</v>
      </c>
      <c r="X3" s="15" t="s">
        <v>31</v>
      </c>
      <c r="Y3" s="15" t="s">
        <v>32</v>
      </c>
      <c r="Z3" s="15" t="s">
        <v>33</v>
      </c>
      <c r="AA3" s="16" t="s">
        <v>34</v>
      </c>
      <c r="AB3" s="14" t="s">
        <v>35</v>
      </c>
      <c r="AC3" s="10" t="s">
        <v>36</v>
      </c>
      <c r="AD3" s="10" t="s">
        <v>37</v>
      </c>
      <c r="AE3" s="10" t="s">
        <v>38</v>
      </c>
      <c r="AF3" s="10" t="s">
        <v>39</v>
      </c>
      <c r="AG3" s="10" t="s">
        <v>40</v>
      </c>
      <c r="AH3" s="10" t="s">
        <v>41</v>
      </c>
      <c r="AI3" s="10" t="s">
        <v>42</v>
      </c>
      <c r="AJ3" s="10" t="s">
        <v>43</v>
      </c>
      <c r="AK3" s="10" t="s">
        <v>44</v>
      </c>
      <c r="AL3" s="10" t="s">
        <v>45</v>
      </c>
      <c r="AM3" s="10" t="s">
        <v>46</v>
      </c>
    </row>
    <row r="4" customFormat="false" ht="42" hidden="false" customHeight="true" outlineLevel="0" collapsed="false">
      <c r="A4" s="17" t="s">
        <v>47</v>
      </c>
      <c r="B4" s="17" t="s">
        <v>48</v>
      </c>
      <c r="C4" s="17" t="s">
        <v>49</v>
      </c>
      <c r="D4" s="18" t="n">
        <v>5</v>
      </c>
      <c r="E4" s="19" t="n">
        <v>3</v>
      </c>
      <c r="F4" s="20" t="n">
        <v>4</v>
      </c>
      <c r="G4" s="19" t="n">
        <v>3</v>
      </c>
      <c r="H4" s="21" t="n">
        <v>2</v>
      </c>
      <c r="I4" s="20" t="n">
        <v>4</v>
      </c>
      <c r="J4" s="20" t="n">
        <v>4</v>
      </c>
      <c r="K4" s="18" t="n">
        <v>5</v>
      </c>
      <c r="L4" s="18" t="n">
        <v>5</v>
      </c>
      <c r="M4" s="22"/>
      <c r="N4" s="20" t="n">
        <v>4</v>
      </c>
      <c r="O4" s="19" t="n">
        <v>3</v>
      </c>
      <c r="P4" s="18" t="n">
        <v>5</v>
      </c>
      <c r="Q4" s="20" t="n">
        <v>4</v>
      </c>
      <c r="R4" s="23" t="n">
        <v>3</v>
      </c>
      <c r="S4" s="24" t="n">
        <v>4</v>
      </c>
      <c r="T4" s="25" t="n">
        <v>2</v>
      </c>
      <c r="U4" s="25" t="n">
        <v>2</v>
      </c>
      <c r="V4" s="23" t="n">
        <v>3</v>
      </c>
      <c r="W4" s="18" t="n">
        <v>5</v>
      </c>
      <c r="X4" s="20" t="n">
        <v>4</v>
      </c>
      <c r="Y4" s="18" t="n">
        <v>5</v>
      </c>
      <c r="Z4" s="20" t="n">
        <v>4</v>
      </c>
      <c r="AA4" s="26" t="n">
        <f aca="false">ROUND(AVERAGE(D4:M4)*0.25+AVERAGE(N4:Q4)*0.2+AVERAGE(R4:V4)*0.3+AVERAGE(W4:Z4)*0.25,1)</f>
        <v>3.7</v>
      </c>
      <c r="AB4" s="27" t="s">
        <v>50</v>
      </c>
      <c r="AC4" s="28" t="s">
        <v>51</v>
      </c>
      <c r="AD4" s="28" t="s">
        <v>52</v>
      </c>
      <c r="AE4" s="28" t="s">
        <v>53</v>
      </c>
      <c r="AF4" s="28" t="s">
        <v>54</v>
      </c>
      <c r="AG4" s="28" t="s">
        <v>55</v>
      </c>
      <c r="AH4" s="28" t="s">
        <v>56</v>
      </c>
      <c r="AI4" s="28" t="s">
        <v>57</v>
      </c>
      <c r="AJ4" s="28" t="s">
        <v>58</v>
      </c>
      <c r="AK4" s="28" t="s">
        <v>59</v>
      </c>
      <c r="AL4" s="28" t="s">
        <v>60</v>
      </c>
      <c r="AM4" s="28" t="s">
        <v>61</v>
      </c>
    </row>
    <row r="5" customFormat="false" ht="42" hidden="false" customHeight="true" outlineLevel="0" collapsed="false">
      <c r="A5" s="29" t="s">
        <v>62</v>
      </c>
      <c r="B5" s="29" t="s">
        <v>48</v>
      </c>
      <c r="C5" s="29" t="s">
        <v>63</v>
      </c>
      <c r="D5" s="19" t="n">
        <v>3</v>
      </c>
      <c r="E5" s="21" t="n">
        <v>2</v>
      </c>
      <c r="F5" s="19" t="n">
        <v>3</v>
      </c>
      <c r="G5" s="20" t="n">
        <v>4</v>
      </c>
      <c r="H5" s="19" t="n">
        <v>3</v>
      </c>
      <c r="I5" s="19" t="n">
        <v>3</v>
      </c>
      <c r="J5" s="19" t="n">
        <v>3</v>
      </c>
      <c r="K5" s="19" t="n">
        <v>3</v>
      </c>
      <c r="L5" s="20" t="n">
        <v>4</v>
      </c>
      <c r="M5" s="30"/>
      <c r="N5" s="19" t="n">
        <v>3</v>
      </c>
      <c r="O5" s="20" t="n">
        <v>4</v>
      </c>
      <c r="P5" s="19" t="n">
        <v>3</v>
      </c>
      <c r="Q5" s="19" t="n">
        <v>3</v>
      </c>
      <c r="R5" s="23" t="n">
        <v>3</v>
      </c>
      <c r="S5" s="23" t="n">
        <v>3</v>
      </c>
      <c r="T5" s="25" t="n">
        <v>2</v>
      </c>
      <c r="U5" s="23" t="n">
        <v>3</v>
      </c>
      <c r="V5" s="23" t="n">
        <v>3</v>
      </c>
      <c r="W5" s="20" t="n">
        <v>4</v>
      </c>
      <c r="X5" s="19" t="n">
        <v>3</v>
      </c>
      <c r="Y5" s="20" t="n">
        <v>4</v>
      </c>
      <c r="Z5" s="20" t="n">
        <v>4</v>
      </c>
      <c r="AA5" s="26" t="n">
        <f aca="false">ROUND(AVERAGE(D5:M5)*0.25+AVERAGE(N5:Q5)*0.2+AVERAGE(R5:V5)*0.3+AVERAGE(W5:Z5)*0.25,1)</f>
        <v>3.2</v>
      </c>
      <c r="AB5" s="31" t="s">
        <v>64</v>
      </c>
      <c r="AC5" s="32" t="s">
        <v>65</v>
      </c>
      <c r="AD5" s="32" t="s">
        <v>66</v>
      </c>
      <c r="AE5" s="32" t="s">
        <v>67</v>
      </c>
      <c r="AF5" s="32" t="s">
        <v>68</v>
      </c>
      <c r="AG5" s="32" t="s">
        <v>69</v>
      </c>
      <c r="AH5" s="32" t="s">
        <v>70</v>
      </c>
      <c r="AI5" s="32" t="s">
        <v>71</v>
      </c>
      <c r="AJ5" s="32" t="s">
        <v>72</v>
      </c>
      <c r="AK5" s="32" t="s">
        <v>73</v>
      </c>
      <c r="AL5" s="32" t="s">
        <v>74</v>
      </c>
      <c r="AM5" s="32" t="s">
        <v>61</v>
      </c>
    </row>
    <row r="6" customFormat="false" ht="42" hidden="false" customHeight="true" outlineLevel="0" collapsed="false">
      <c r="A6" s="17" t="s">
        <v>75</v>
      </c>
      <c r="B6" s="17" t="s">
        <v>76</v>
      </c>
      <c r="C6" s="17" t="s">
        <v>77</v>
      </c>
      <c r="D6" s="20" t="n">
        <v>4</v>
      </c>
      <c r="E6" s="18" t="n">
        <v>5</v>
      </c>
      <c r="F6" s="18" t="n">
        <v>5</v>
      </c>
      <c r="G6" s="19" t="n">
        <v>3</v>
      </c>
      <c r="H6" s="33" t="n">
        <v>1</v>
      </c>
      <c r="I6" s="21" t="n">
        <v>2</v>
      </c>
      <c r="J6" s="18" t="n">
        <v>5</v>
      </c>
      <c r="K6" s="20" t="n">
        <v>4</v>
      </c>
      <c r="L6" s="18" t="n">
        <v>5</v>
      </c>
      <c r="M6" s="22"/>
      <c r="N6" s="20" t="n">
        <v>4</v>
      </c>
      <c r="O6" s="18" t="n">
        <v>5</v>
      </c>
      <c r="P6" s="18" t="n">
        <v>5</v>
      </c>
      <c r="Q6" s="18" t="n">
        <v>5</v>
      </c>
      <c r="R6" s="24" t="n">
        <v>4</v>
      </c>
      <c r="S6" s="24" t="n">
        <v>4</v>
      </c>
      <c r="T6" s="23" t="n">
        <v>3</v>
      </c>
      <c r="U6" s="23" t="n">
        <v>3</v>
      </c>
      <c r="V6" s="23" t="n">
        <v>3</v>
      </c>
      <c r="W6" s="18" t="n">
        <v>5</v>
      </c>
      <c r="X6" s="18" t="n">
        <v>5</v>
      </c>
      <c r="Y6" s="18" t="n">
        <v>5</v>
      </c>
      <c r="Z6" s="18" t="n">
        <v>5</v>
      </c>
      <c r="AA6" s="26" t="n">
        <f aca="false">ROUND(AVERAGE(D6:M6)*0.25+AVERAGE(N6:Q6)*0.2+AVERAGE(R6:V6)*0.3+AVERAGE(W6:Z6)*0.25,1)</f>
        <v>4.2</v>
      </c>
      <c r="AB6" s="27" t="s">
        <v>78</v>
      </c>
      <c r="AC6" s="28" t="s">
        <v>79</v>
      </c>
      <c r="AD6" s="28" t="s">
        <v>80</v>
      </c>
      <c r="AE6" s="28" t="s">
        <v>81</v>
      </c>
      <c r="AF6" s="28" t="s">
        <v>82</v>
      </c>
      <c r="AG6" s="28" t="s">
        <v>83</v>
      </c>
      <c r="AH6" s="28" t="s">
        <v>84</v>
      </c>
      <c r="AI6" s="28" t="s">
        <v>60</v>
      </c>
      <c r="AJ6" s="28" t="s">
        <v>85</v>
      </c>
      <c r="AK6" s="28" t="s">
        <v>86</v>
      </c>
      <c r="AL6" s="28" t="s">
        <v>60</v>
      </c>
      <c r="AM6" s="28" t="s">
        <v>61</v>
      </c>
    </row>
    <row r="7" customFormat="false" ht="42" hidden="false" customHeight="true" outlineLevel="0" collapsed="false">
      <c r="A7" s="29" t="s">
        <v>87</v>
      </c>
      <c r="B7" s="29" t="s">
        <v>88</v>
      </c>
      <c r="C7" s="29" t="s">
        <v>89</v>
      </c>
      <c r="D7" s="19" t="n">
        <v>3</v>
      </c>
      <c r="E7" s="20" t="n">
        <v>4</v>
      </c>
      <c r="F7" s="18" t="n">
        <v>5</v>
      </c>
      <c r="G7" s="20" t="n">
        <v>4</v>
      </c>
      <c r="H7" s="33" t="n">
        <v>1</v>
      </c>
      <c r="I7" s="33" t="n">
        <v>1</v>
      </c>
      <c r="J7" s="20" t="n">
        <v>4</v>
      </c>
      <c r="K7" s="18" t="n">
        <v>5</v>
      </c>
      <c r="L7" s="18" t="n">
        <v>5</v>
      </c>
      <c r="M7" s="30"/>
      <c r="N7" s="18" t="n">
        <v>5</v>
      </c>
      <c r="O7" s="18" t="n">
        <v>5</v>
      </c>
      <c r="P7" s="20" t="n">
        <v>4</v>
      </c>
      <c r="Q7" s="18" t="n">
        <v>5</v>
      </c>
      <c r="R7" s="23" t="n">
        <v>3</v>
      </c>
      <c r="S7" s="23" t="n">
        <v>3</v>
      </c>
      <c r="T7" s="34" t="n">
        <v>1</v>
      </c>
      <c r="U7" s="25" t="n">
        <v>2</v>
      </c>
      <c r="V7" s="25" t="n">
        <v>2</v>
      </c>
      <c r="W7" s="18" t="n">
        <v>5</v>
      </c>
      <c r="X7" s="18" t="n">
        <v>5</v>
      </c>
      <c r="Y7" s="20" t="n">
        <v>4</v>
      </c>
      <c r="Z7" s="18" t="n">
        <v>5</v>
      </c>
      <c r="AA7" s="26" t="n">
        <f aca="false">ROUND(AVERAGE(D7:M7)*0.25+AVERAGE(N7:Q7)*0.2+AVERAGE(R7:V7)*0.3+AVERAGE(W7:Z7)*0.25,1)</f>
        <v>3.7</v>
      </c>
      <c r="AB7" s="31" t="s">
        <v>90</v>
      </c>
      <c r="AC7" s="32" t="s">
        <v>91</v>
      </c>
      <c r="AD7" s="32" t="s">
        <v>92</v>
      </c>
      <c r="AE7" s="32" t="s">
        <v>93</v>
      </c>
      <c r="AF7" s="32" t="s">
        <v>94</v>
      </c>
      <c r="AG7" s="32" t="s">
        <v>95</v>
      </c>
      <c r="AH7" s="32" t="s">
        <v>96</v>
      </c>
      <c r="AI7" s="32" t="s">
        <v>71</v>
      </c>
      <c r="AJ7" s="32" t="s">
        <v>97</v>
      </c>
      <c r="AK7" s="32" t="s">
        <v>98</v>
      </c>
      <c r="AL7" s="32" t="s">
        <v>71</v>
      </c>
      <c r="AM7" s="32" t="s">
        <v>61</v>
      </c>
    </row>
    <row r="8" customFormat="false" ht="42" hidden="false" customHeight="true" outlineLevel="0" collapsed="false">
      <c r="A8" s="17" t="s">
        <v>99</v>
      </c>
      <c r="B8" s="17" t="s">
        <v>76</v>
      </c>
      <c r="C8" s="17" t="s">
        <v>100</v>
      </c>
      <c r="D8" s="20" t="n">
        <v>4</v>
      </c>
      <c r="E8" s="20" t="n">
        <v>4</v>
      </c>
      <c r="F8" s="20" t="n">
        <v>4</v>
      </c>
      <c r="G8" s="19" t="n">
        <v>3</v>
      </c>
      <c r="H8" s="33" t="n">
        <v>1</v>
      </c>
      <c r="I8" s="21" t="n">
        <v>2</v>
      </c>
      <c r="J8" s="18" t="n">
        <v>5</v>
      </c>
      <c r="K8" s="20" t="n">
        <v>4</v>
      </c>
      <c r="L8" s="18" t="n">
        <v>5</v>
      </c>
      <c r="M8" s="22"/>
      <c r="N8" s="20" t="n">
        <v>4</v>
      </c>
      <c r="O8" s="20" t="n">
        <v>4</v>
      </c>
      <c r="P8" s="18" t="n">
        <v>5</v>
      </c>
      <c r="Q8" s="20" t="n">
        <v>4</v>
      </c>
      <c r="R8" s="23" t="n">
        <v>3</v>
      </c>
      <c r="S8" s="23" t="n">
        <v>3</v>
      </c>
      <c r="T8" s="25" t="n">
        <v>2</v>
      </c>
      <c r="U8" s="25" t="n">
        <v>2</v>
      </c>
      <c r="V8" s="25" t="n">
        <v>2</v>
      </c>
      <c r="W8" s="18" t="n">
        <v>5</v>
      </c>
      <c r="X8" s="20" t="n">
        <v>4</v>
      </c>
      <c r="Y8" s="18" t="n">
        <v>5</v>
      </c>
      <c r="Z8" s="20" t="n">
        <v>4</v>
      </c>
      <c r="AA8" s="26" t="n">
        <f aca="false">ROUND(AVERAGE(D8:M8)*0.25+AVERAGE(N8:Q8)*0.2+AVERAGE(R8:V8)*0.3+AVERAGE(W8:Z8)*0.25,1)</f>
        <v>3.6</v>
      </c>
      <c r="AB8" s="27" t="s">
        <v>101</v>
      </c>
      <c r="AC8" s="28" t="s">
        <v>102</v>
      </c>
      <c r="AD8" s="28" t="s">
        <v>103</v>
      </c>
      <c r="AE8" s="28" t="s">
        <v>104</v>
      </c>
      <c r="AF8" s="28" t="s">
        <v>105</v>
      </c>
      <c r="AG8" s="28" t="s">
        <v>106</v>
      </c>
      <c r="AH8" s="28" t="s">
        <v>107</v>
      </c>
      <c r="AI8" s="28" t="s">
        <v>71</v>
      </c>
      <c r="AJ8" s="28" t="s">
        <v>85</v>
      </c>
      <c r="AK8" s="28" t="s">
        <v>108</v>
      </c>
      <c r="AL8" s="28" t="s">
        <v>71</v>
      </c>
      <c r="AM8" s="28" t="s">
        <v>61</v>
      </c>
    </row>
    <row r="9" customFormat="false" ht="42" hidden="false" customHeight="true" outlineLevel="0" collapsed="false">
      <c r="A9" s="29" t="s">
        <v>109</v>
      </c>
      <c r="B9" s="29" t="s">
        <v>110</v>
      </c>
      <c r="C9" s="29" t="s">
        <v>111</v>
      </c>
      <c r="D9" s="19" t="n">
        <v>3</v>
      </c>
      <c r="E9" s="18" t="n">
        <v>5</v>
      </c>
      <c r="F9" s="20" t="n">
        <v>4</v>
      </c>
      <c r="G9" s="20" t="n">
        <v>4</v>
      </c>
      <c r="H9" s="33" t="n">
        <v>1</v>
      </c>
      <c r="I9" s="21" t="n">
        <v>2</v>
      </c>
      <c r="J9" s="18" t="n">
        <v>5</v>
      </c>
      <c r="K9" s="18" t="n">
        <v>5</v>
      </c>
      <c r="L9" s="18" t="n">
        <v>5</v>
      </c>
      <c r="M9" s="30"/>
      <c r="N9" s="18" t="n">
        <v>5</v>
      </c>
      <c r="O9" s="18" t="n">
        <v>5</v>
      </c>
      <c r="P9" s="18" t="n">
        <v>5</v>
      </c>
      <c r="Q9" s="18" t="n">
        <v>5</v>
      </c>
      <c r="R9" s="24" t="n">
        <v>4</v>
      </c>
      <c r="S9" s="24" t="n">
        <v>4</v>
      </c>
      <c r="T9" s="25" t="n">
        <v>2</v>
      </c>
      <c r="U9" s="23" t="n">
        <v>3</v>
      </c>
      <c r="V9" s="24" t="n">
        <v>4</v>
      </c>
      <c r="W9" s="18" t="n">
        <v>5</v>
      </c>
      <c r="X9" s="18" t="n">
        <v>5</v>
      </c>
      <c r="Y9" s="18" t="n">
        <v>5</v>
      </c>
      <c r="Z9" s="18" t="n">
        <v>5</v>
      </c>
      <c r="AA9" s="26" t="n">
        <f aca="false">ROUND(AVERAGE(D9:M9)*0.25+AVERAGE(N9:Q9)*0.2+AVERAGE(R9:V9)*0.3+AVERAGE(W9:Z9)*0.25,1)</f>
        <v>4.2</v>
      </c>
      <c r="AB9" s="31" t="s">
        <v>112</v>
      </c>
      <c r="AC9" s="32" t="s">
        <v>113</v>
      </c>
      <c r="AD9" s="32" t="s">
        <v>114</v>
      </c>
      <c r="AE9" s="32" t="s">
        <v>115</v>
      </c>
      <c r="AF9" s="32" t="s">
        <v>116</v>
      </c>
      <c r="AG9" s="32" t="s">
        <v>117</v>
      </c>
      <c r="AH9" s="32" t="s">
        <v>118</v>
      </c>
      <c r="AI9" s="32" t="s">
        <v>119</v>
      </c>
      <c r="AJ9" s="32" t="s">
        <v>120</v>
      </c>
      <c r="AK9" s="32" t="s">
        <v>121</v>
      </c>
      <c r="AL9" s="32" t="s">
        <v>60</v>
      </c>
      <c r="AM9" s="32" t="s">
        <v>61</v>
      </c>
    </row>
    <row r="10" customFormat="false" ht="42" hidden="false" customHeight="true" outlineLevel="0" collapsed="false">
      <c r="A10" s="17" t="s">
        <v>122</v>
      </c>
      <c r="B10" s="17" t="s">
        <v>123</v>
      </c>
      <c r="C10" s="17" t="s">
        <v>124</v>
      </c>
      <c r="D10" s="19" t="n">
        <v>3</v>
      </c>
      <c r="E10" s="21" t="n">
        <v>2</v>
      </c>
      <c r="F10" s="20" t="n">
        <v>4</v>
      </c>
      <c r="G10" s="19" t="n">
        <v>3</v>
      </c>
      <c r="H10" s="19" t="n">
        <v>3</v>
      </c>
      <c r="I10" s="20" t="n">
        <v>4</v>
      </c>
      <c r="J10" s="20" t="n">
        <v>4</v>
      </c>
      <c r="K10" s="20" t="n">
        <v>4</v>
      </c>
      <c r="L10" s="18" t="n">
        <v>5</v>
      </c>
      <c r="M10" s="22"/>
      <c r="N10" s="20" t="n">
        <v>4</v>
      </c>
      <c r="O10" s="20" t="n">
        <v>4</v>
      </c>
      <c r="P10" s="20" t="n">
        <v>4</v>
      </c>
      <c r="Q10" s="18" t="n">
        <v>5</v>
      </c>
      <c r="R10" s="23" t="n">
        <v>3</v>
      </c>
      <c r="S10" s="23" t="n">
        <v>3</v>
      </c>
      <c r="T10" s="25" t="n">
        <v>2</v>
      </c>
      <c r="U10" s="24" t="n">
        <v>4</v>
      </c>
      <c r="V10" s="25" t="n">
        <v>2</v>
      </c>
      <c r="W10" s="18" t="n">
        <v>5</v>
      </c>
      <c r="X10" s="20" t="n">
        <v>4</v>
      </c>
      <c r="Y10" s="18" t="n">
        <v>5</v>
      </c>
      <c r="Z10" s="20" t="n">
        <v>4</v>
      </c>
      <c r="AA10" s="26" t="n">
        <f aca="false">ROUND(AVERAGE(D10:M10)*0.25+AVERAGE(N10:Q10)*0.2+AVERAGE(R10:V10)*0.3+AVERAGE(W10:Z10)*0.25,1)</f>
        <v>3.7</v>
      </c>
      <c r="AB10" s="27" t="s">
        <v>125</v>
      </c>
      <c r="AC10" s="28" t="s">
        <v>126</v>
      </c>
      <c r="AD10" s="28" t="s">
        <v>127</v>
      </c>
      <c r="AE10" s="28" t="s">
        <v>128</v>
      </c>
      <c r="AF10" s="28" t="s">
        <v>129</v>
      </c>
      <c r="AG10" s="28" t="s">
        <v>130</v>
      </c>
      <c r="AH10" s="28" t="s">
        <v>131</v>
      </c>
      <c r="AI10" s="28" t="s">
        <v>71</v>
      </c>
      <c r="AJ10" s="28" t="s">
        <v>132</v>
      </c>
      <c r="AK10" s="28" t="s">
        <v>133</v>
      </c>
      <c r="AL10" s="28" t="s">
        <v>71</v>
      </c>
      <c r="AM10" s="28" t="s">
        <v>61</v>
      </c>
    </row>
    <row r="11" customFormat="false" ht="42" hidden="false" customHeight="true" outlineLevel="0" collapsed="false">
      <c r="A11" s="29" t="s">
        <v>134</v>
      </c>
      <c r="B11" s="29" t="s">
        <v>123</v>
      </c>
      <c r="C11" s="29" t="s">
        <v>135</v>
      </c>
      <c r="D11" s="19" t="n">
        <v>3</v>
      </c>
      <c r="E11" s="21" t="n">
        <v>2</v>
      </c>
      <c r="F11" s="19" t="n">
        <v>3</v>
      </c>
      <c r="G11" s="19" t="n">
        <v>3</v>
      </c>
      <c r="H11" s="20" t="n">
        <v>4</v>
      </c>
      <c r="I11" s="19" t="n">
        <v>3</v>
      </c>
      <c r="J11" s="19" t="n">
        <v>3</v>
      </c>
      <c r="K11" s="19" t="n">
        <v>3</v>
      </c>
      <c r="L11" s="20" t="n">
        <v>4</v>
      </c>
      <c r="M11" s="30"/>
      <c r="N11" s="19" t="n">
        <v>3</v>
      </c>
      <c r="O11" s="19" t="n">
        <v>3</v>
      </c>
      <c r="P11" s="20" t="n">
        <v>4</v>
      </c>
      <c r="Q11" s="19" t="n">
        <v>3</v>
      </c>
      <c r="R11" s="25" t="n">
        <v>2</v>
      </c>
      <c r="S11" s="23" t="n">
        <v>3</v>
      </c>
      <c r="T11" s="25" t="n">
        <v>2</v>
      </c>
      <c r="U11" s="23" t="n">
        <v>3</v>
      </c>
      <c r="V11" s="25" t="n">
        <v>2</v>
      </c>
      <c r="W11" s="20" t="n">
        <v>4</v>
      </c>
      <c r="X11" s="20" t="n">
        <v>4</v>
      </c>
      <c r="Y11" s="20" t="n">
        <v>4</v>
      </c>
      <c r="Z11" s="19" t="n">
        <v>3</v>
      </c>
      <c r="AA11" s="26" t="n">
        <f aca="false">ROUND(AVERAGE(D11:M11)*0.25+AVERAGE(N11:Q11)*0.2+AVERAGE(R11:V11)*0.3+AVERAGE(W11:Z11)*0.25,1)</f>
        <v>3.1</v>
      </c>
      <c r="AB11" s="31" t="s">
        <v>136</v>
      </c>
      <c r="AC11" s="32" t="s">
        <v>137</v>
      </c>
      <c r="AD11" s="32" t="s">
        <v>138</v>
      </c>
      <c r="AE11" s="32" t="s">
        <v>139</v>
      </c>
      <c r="AF11" s="32" t="s">
        <v>140</v>
      </c>
      <c r="AG11" s="32" t="s">
        <v>141</v>
      </c>
      <c r="AH11" s="32" t="s">
        <v>142</v>
      </c>
      <c r="AI11" s="32" t="s">
        <v>60</v>
      </c>
      <c r="AJ11" s="32" t="s">
        <v>143</v>
      </c>
      <c r="AK11" s="32" t="s">
        <v>144</v>
      </c>
      <c r="AL11" s="32" t="s">
        <v>74</v>
      </c>
      <c r="AM11" s="32" t="s">
        <v>61</v>
      </c>
    </row>
    <row r="12" customFormat="false" ht="42" hidden="false" customHeight="true" outlineLevel="0" collapsed="false">
      <c r="A12" s="17" t="s">
        <v>145</v>
      </c>
      <c r="B12" s="17" t="s">
        <v>123</v>
      </c>
      <c r="C12" s="17" t="s">
        <v>146</v>
      </c>
      <c r="D12" s="19" t="n">
        <v>3</v>
      </c>
      <c r="E12" s="33" t="n">
        <v>1</v>
      </c>
      <c r="F12" s="19" t="n">
        <v>3</v>
      </c>
      <c r="G12" s="21" t="n">
        <v>2</v>
      </c>
      <c r="H12" s="19" t="n">
        <v>3</v>
      </c>
      <c r="I12" s="19" t="n">
        <v>3</v>
      </c>
      <c r="J12" s="19" t="n">
        <v>3</v>
      </c>
      <c r="K12" s="19" t="n">
        <v>3</v>
      </c>
      <c r="L12" s="20" t="n">
        <v>4</v>
      </c>
      <c r="M12" s="22"/>
      <c r="N12" s="21" t="n">
        <v>2</v>
      </c>
      <c r="O12" s="19" t="n">
        <v>3</v>
      </c>
      <c r="P12" s="19" t="n">
        <v>3</v>
      </c>
      <c r="Q12" s="19" t="n">
        <v>3</v>
      </c>
      <c r="R12" s="25" t="n">
        <v>2</v>
      </c>
      <c r="S12" s="25" t="n">
        <v>2</v>
      </c>
      <c r="T12" s="34" t="n">
        <v>1</v>
      </c>
      <c r="U12" s="23" t="n">
        <v>3</v>
      </c>
      <c r="V12" s="25" t="n">
        <v>2</v>
      </c>
      <c r="W12" s="19" t="n">
        <v>3</v>
      </c>
      <c r="X12" s="19" t="n">
        <v>3</v>
      </c>
      <c r="Y12" s="19" t="n">
        <v>3</v>
      </c>
      <c r="Z12" s="19" t="n">
        <v>3</v>
      </c>
      <c r="AA12" s="26" t="n">
        <f aca="false">ROUND(AVERAGE(D12:M12)*0.25+AVERAGE(N12:Q12)*0.2+AVERAGE(R12:V12)*0.3+AVERAGE(W12:Z12)*0.25,1)</f>
        <v>2.6</v>
      </c>
      <c r="AB12" s="27" t="s">
        <v>147</v>
      </c>
      <c r="AC12" s="28" t="s">
        <v>148</v>
      </c>
      <c r="AD12" s="28" t="s">
        <v>149</v>
      </c>
      <c r="AE12" s="28" t="s">
        <v>150</v>
      </c>
      <c r="AF12" s="28" t="s">
        <v>151</v>
      </c>
      <c r="AG12" s="28" t="s">
        <v>152</v>
      </c>
      <c r="AH12" s="28" t="s">
        <v>153</v>
      </c>
      <c r="AI12" s="28" t="s">
        <v>74</v>
      </c>
      <c r="AJ12" s="28" t="s">
        <v>154</v>
      </c>
      <c r="AK12" s="28" t="s">
        <v>155</v>
      </c>
      <c r="AL12" s="28" t="s">
        <v>156</v>
      </c>
      <c r="AM12" s="28" t="s">
        <v>61</v>
      </c>
    </row>
    <row r="13" customFormat="false" ht="42" hidden="false" customHeight="true" outlineLevel="0" collapsed="false">
      <c r="A13" s="29" t="s">
        <v>157</v>
      </c>
      <c r="B13" s="29" t="s">
        <v>158</v>
      </c>
      <c r="C13" s="29" t="s">
        <v>159</v>
      </c>
      <c r="D13" s="21" t="n">
        <v>2</v>
      </c>
      <c r="E13" s="33" t="n">
        <v>1</v>
      </c>
      <c r="F13" s="18" t="n">
        <v>5</v>
      </c>
      <c r="G13" s="18" t="n">
        <v>5</v>
      </c>
      <c r="H13" s="33" t="n">
        <v>1</v>
      </c>
      <c r="I13" s="33" t="n">
        <v>1</v>
      </c>
      <c r="J13" s="20" t="n">
        <v>4</v>
      </c>
      <c r="K13" s="18" t="n">
        <v>5</v>
      </c>
      <c r="L13" s="18" t="n">
        <v>5</v>
      </c>
      <c r="M13" s="30"/>
      <c r="N13" s="18" t="n">
        <v>5</v>
      </c>
      <c r="O13" s="18" t="n">
        <v>5</v>
      </c>
      <c r="P13" s="19" t="n">
        <v>3</v>
      </c>
      <c r="Q13" s="18" t="n">
        <v>5</v>
      </c>
      <c r="R13" s="24" t="n">
        <v>4</v>
      </c>
      <c r="S13" s="35" t="n">
        <v>5</v>
      </c>
      <c r="T13" s="24" t="n">
        <v>4</v>
      </c>
      <c r="U13" s="23" t="n">
        <v>3</v>
      </c>
      <c r="V13" s="35" t="n">
        <v>5</v>
      </c>
      <c r="W13" s="20" t="n">
        <v>4</v>
      </c>
      <c r="X13" s="19" t="n">
        <v>3</v>
      </c>
      <c r="Y13" s="18" t="n">
        <v>5</v>
      </c>
      <c r="Z13" s="20" t="n">
        <v>4</v>
      </c>
      <c r="AA13" s="26" t="n">
        <f aca="false">ROUND(AVERAGE(D13:M13)*0.25+AVERAGE(N13:Q13)*0.2+AVERAGE(R13:V13)*0.3+AVERAGE(W13:Z13)*0.25,1)</f>
        <v>4</v>
      </c>
      <c r="AB13" s="31" t="s">
        <v>160</v>
      </c>
      <c r="AC13" s="32" t="s">
        <v>161</v>
      </c>
      <c r="AD13" s="32" t="s">
        <v>162</v>
      </c>
      <c r="AE13" s="32" t="s">
        <v>163</v>
      </c>
      <c r="AF13" s="32" t="s">
        <v>164</v>
      </c>
      <c r="AG13" s="32" t="s">
        <v>165</v>
      </c>
      <c r="AH13" s="32" t="s">
        <v>166</v>
      </c>
      <c r="AI13" s="32" t="s">
        <v>60</v>
      </c>
      <c r="AJ13" s="32" t="s">
        <v>158</v>
      </c>
      <c r="AK13" s="32" t="s">
        <v>167</v>
      </c>
      <c r="AL13" s="32" t="s">
        <v>168</v>
      </c>
      <c r="AM13" s="32" t="s">
        <v>61</v>
      </c>
    </row>
    <row r="14" customFormat="false" ht="42" hidden="false" customHeight="true" outlineLevel="0" collapsed="false">
      <c r="A14" s="17" t="s">
        <v>169</v>
      </c>
      <c r="B14" s="17" t="s">
        <v>158</v>
      </c>
      <c r="C14" s="17" t="s">
        <v>170</v>
      </c>
      <c r="D14" s="21" t="n">
        <v>2</v>
      </c>
      <c r="E14" s="33" t="n">
        <v>1</v>
      </c>
      <c r="F14" s="18" t="n">
        <v>5</v>
      </c>
      <c r="G14" s="18" t="n">
        <v>5</v>
      </c>
      <c r="H14" s="33" t="n">
        <v>1</v>
      </c>
      <c r="I14" s="33" t="n">
        <v>1</v>
      </c>
      <c r="J14" s="19" t="n">
        <v>3</v>
      </c>
      <c r="K14" s="18" t="n">
        <v>5</v>
      </c>
      <c r="L14" s="18" t="n">
        <v>5</v>
      </c>
      <c r="M14" s="22"/>
      <c r="N14" s="20" t="n">
        <v>4</v>
      </c>
      <c r="O14" s="20" t="n">
        <v>4</v>
      </c>
      <c r="P14" s="19" t="n">
        <v>3</v>
      </c>
      <c r="Q14" s="18" t="n">
        <v>5</v>
      </c>
      <c r="R14" s="23" t="n">
        <v>3</v>
      </c>
      <c r="S14" s="24" t="n">
        <v>4</v>
      </c>
      <c r="T14" s="23" t="n">
        <v>3</v>
      </c>
      <c r="U14" s="23" t="n">
        <v>3</v>
      </c>
      <c r="V14" s="35" t="n">
        <v>5</v>
      </c>
      <c r="W14" s="20" t="n">
        <v>4</v>
      </c>
      <c r="X14" s="19" t="n">
        <v>3</v>
      </c>
      <c r="Y14" s="18" t="n">
        <v>5</v>
      </c>
      <c r="Z14" s="20" t="n">
        <v>4</v>
      </c>
      <c r="AA14" s="26" t="n">
        <f aca="false">ROUND(AVERAGE(D14:M14)*0.25+AVERAGE(N14:Q14)*0.2+AVERAGE(R14:V14)*0.3+AVERAGE(W14:Z14)*0.25,1)</f>
        <v>3.7</v>
      </c>
      <c r="AB14" s="27" t="s">
        <v>171</v>
      </c>
      <c r="AC14" s="28" t="s">
        <v>172</v>
      </c>
      <c r="AD14" s="28" t="s">
        <v>173</v>
      </c>
      <c r="AE14" s="28" t="s">
        <v>174</v>
      </c>
      <c r="AF14" s="28" t="s">
        <v>175</v>
      </c>
      <c r="AG14" s="28" t="s">
        <v>176</v>
      </c>
      <c r="AH14" s="28" t="s">
        <v>177</v>
      </c>
      <c r="AI14" s="28" t="s">
        <v>71</v>
      </c>
      <c r="AJ14" s="28" t="s">
        <v>158</v>
      </c>
      <c r="AK14" s="28" t="s">
        <v>167</v>
      </c>
      <c r="AL14" s="28" t="s">
        <v>71</v>
      </c>
      <c r="AM14" s="28" t="s">
        <v>61</v>
      </c>
    </row>
    <row r="15" customFormat="false" ht="42" hidden="false" customHeight="true" outlineLevel="0" collapsed="false">
      <c r="A15" s="29" t="s">
        <v>178</v>
      </c>
      <c r="B15" s="29" t="s">
        <v>158</v>
      </c>
      <c r="C15" s="29" t="s">
        <v>179</v>
      </c>
      <c r="D15" s="21" t="n">
        <v>2</v>
      </c>
      <c r="E15" s="33" t="n">
        <v>1</v>
      </c>
      <c r="F15" s="18" t="n">
        <v>5</v>
      </c>
      <c r="G15" s="18" t="n">
        <v>5</v>
      </c>
      <c r="H15" s="33" t="n">
        <v>1</v>
      </c>
      <c r="I15" s="33" t="n">
        <v>1</v>
      </c>
      <c r="J15" s="19" t="n">
        <v>3</v>
      </c>
      <c r="K15" s="18" t="n">
        <v>5</v>
      </c>
      <c r="L15" s="18" t="n">
        <v>5</v>
      </c>
      <c r="M15" s="30"/>
      <c r="N15" s="18" t="n">
        <v>5</v>
      </c>
      <c r="O15" s="18" t="n">
        <v>5</v>
      </c>
      <c r="P15" s="19" t="n">
        <v>3</v>
      </c>
      <c r="Q15" s="18" t="n">
        <v>5</v>
      </c>
      <c r="R15" s="35" t="n">
        <v>5</v>
      </c>
      <c r="S15" s="35" t="n">
        <v>5</v>
      </c>
      <c r="T15" s="24" t="n">
        <v>4</v>
      </c>
      <c r="U15" s="35" t="n">
        <v>5</v>
      </c>
      <c r="V15" s="35" t="n">
        <v>5</v>
      </c>
      <c r="W15" s="20" t="n">
        <v>4</v>
      </c>
      <c r="X15" s="19" t="n">
        <v>3</v>
      </c>
      <c r="Y15" s="18" t="n">
        <v>5</v>
      </c>
      <c r="Z15" s="18" t="n">
        <v>5</v>
      </c>
      <c r="AA15" s="26" t="n">
        <f aca="false">ROUND(AVERAGE(D15:M15)*0.25+AVERAGE(N15:Q15)*0.2+AVERAGE(R15:V15)*0.3+AVERAGE(W15:Z15)*0.25,1)</f>
        <v>4.2</v>
      </c>
      <c r="AB15" s="31" t="s">
        <v>180</v>
      </c>
      <c r="AC15" s="32" t="s">
        <v>181</v>
      </c>
      <c r="AD15" s="32" t="s">
        <v>182</v>
      </c>
      <c r="AE15" s="32" t="s">
        <v>183</v>
      </c>
      <c r="AF15" s="32" t="s">
        <v>184</v>
      </c>
      <c r="AG15" s="32" t="s">
        <v>185</v>
      </c>
      <c r="AH15" s="32" t="s">
        <v>186</v>
      </c>
      <c r="AI15" s="32" t="s">
        <v>71</v>
      </c>
      <c r="AJ15" s="32" t="s">
        <v>158</v>
      </c>
      <c r="AK15" s="32" t="s">
        <v>167</v>
      </c>
      <c r="AL15" s="32" t="s">
        <v>187</v>
      </c>
      <c r="AM15" s="32" t="s">
        <v>61</v>
      </c>
    </row>
    <row r="16" customFormat="false" ht="42" hidden="false" customHeight="true" outlineLevel="0" collapsed="false">
      <c r="A16" s="17" t="s">
        <v>188</v>
      </c>
      <c r="B16" s="17" t="s">
        <v>158</v>
      </c>
      <c r="C16" s="17" t="s">
        <v>189</v>
      </c>
      <c r="D16" s="21" t="n">
        <v>2</v>
      </c>
      <c r="E16" s="33" t="n">
        <v>1</v>
      </c>
      <c r="F16" s="20" t="n">
        <v>4</v>
      </c>
      <c r="G16" s="20" t="n">
        <v>4</v>
      </c>
      <c r="H16" s="33" t="n">
        <v>1</v>
      </c>
      <c r="I16" s="21" t="n">
        <v>2</v>
      </c>
      <c r="J16" s="19" t="n">
        <v>3</v>
      </c>
      <c r="K16" s="18" t="n">
        <v>5</v>
      </c>
      <c r="L16" s="20" t="n">
        <v>4</v>
      </c>
      <c r="M16" s="22"/>
      <c r="N16" s="19" t="n">
        <v>3</v>
      </c>
      <c r="O16" s="19" t="n">
        <v>3</v>
      </c>
      <c r="P16" s="20" t="n">
        <v>4</v>
      </c>
      <c r="Q16" s="20" t="n">
        <v>4</v>
      </c>
      <c r="R16" s="25" t="n">
        <v>2</v>
      </c>
      <c r="S16" s="25" t="n">
        <v>2</v>
      </c>
      <c r="T16" s="25" t="n">
        <v>2</v>
      </c>
      <c r="U16" s="25" t="n">
        <v>2</v>
      </c>
      <c r="V16" s="23" t="n">
        <v>3</v>
      </c>
      <c r="W16" s="19" t="n">
        <v>3</v>
      </c>
      <c r="X16" s="19" t="n">
        <v>3</v>
      </c>
      <c r="Y16" s="20" t="n">
        <v>4</v>
      </c>
      <c r="Z16" s="20" t="n">
        <v>4</v>
      </c>
      <c r="AA16" s="26" t="n">
        <f aca="false">ROUND(AVERAGE(D16:M16)*0.25+AVERAGE(N16:Q16)*0.2+AVERAGE(R16:V16)*0.3+AVERAGE(W16:Z16)*0.25,1)</f>
        <v>3</v>
      </c>
      <c r="AB16" s="27" t="s">
        <v>190</v>
      </c>
      <c r="AC16" s="28" t="s">
        <v>191</v>
      </c>
      <c r="AD16" s="28" t="s">
        <v>192</v>
      </c>
      <c r="AE16" s="28" t="s">
        <v>193</v>
      </c>
      <c r="AF16" s="28" t="s">
        <v>194</v>
      </c>
      <c r="AG16" s="28" t="s">
        <v>195</v>
      </c>
      <c r="AH16" s="28" t="s">
        <v>196</v>
      </c>
      <c r="AI16" s="28" t="s">
        <v>71</v>
      </c>
      <c r="AJ16" s="28" t="s">
        <v>158</v>
      </c>
      <c r="AK16" s="28" t="s">
        <v>167</v>
      </c>
      <c r="AL16" s="28" t="s">
        <v>74</v>
      </c>
      <c r="AM16" s="28" t="s">
        <v>61</v>
      </c>
    </row>
    <row r="17" customFormat="false" ht="42" hidden="false" customHeight="true" outlineLevel="0" collapsed="false">
      <c r="A17" s="29" t="s">
        <v>197</v>
      </c>
      <c r="B17" s="29" t="s">
        <v>198</v>
      </c>
      <c r="C17" s="29" t="s">
        <v>199</v>
      </c>
      <c r="D17" s="18" t="n">
        <v>5</v>
      </c>
      <c r="E17" s="18" t="n">
        <v>5</v>
      </c>
      <c r="F17" s="19" t="n">
        <v>3</v>
      </c>
      <c r="G17" s="20" t="n">
        <v>4</v>
      </c>
      <c r="H17" s="18" t="n">
        <v>5</v>
      </c>
      <c r="I17" s="21" t="n">
        <v>2</v>
      </c>
      <c r="J17" s="18" t="n">
        <v>5</v>
      </c>
      <c r="K17" s="20" t="n">
        <v>4</v>
      </c>
      <c r="L17" s="18" t="n">
        <v>5</v>
      </c>
      <c r="M17" s="30"/>
      <c r="N17" s="18" t="n">
        <v>5</v>
      </c>
      <c r="O17" s="18" t="n">
        <v>5</v>
      </c>
      <c r="P17" s="18" t="n">
        <v>5</v>
      </c>
      <c r="Q17" s="18" t="n">
        <v>5</v>
      </c>
      <c r="R17" s="25" t="n">
        <v>2</v>
      </c>
      <c r="S17" s="23" t="n">
        <v>3</v>
      </c>
      <c r="T17" s="25" t="n">
        <v>2</v>
      </c>
      <c r="U17" s="25" t="n">
        <v>2</v>
      </c>
      <c r="V17" s="25" t="n">
        <v>2</v>
      </c>
      <c r="W17" s="18" t="n">
        <v>5</v>
      </c>
      <c r="X17" s="18" t="n">
        <v>5</v>
      </c>
      <c r="Y17" s="20" t="n">
        <v>4</v>
      </c>
      <c r="Z17" s="18" t="n">
        <v>5</v>
      </c>
      <c r="AA17" s="26" t="n">
        <f aca="false">ROUND(AVERAGE(D17:M17)*0.25+AVERAGE(N17:Q17)*0.2+AVERAGE(R17:V17)*0.3+AVERAGE(W17:Z17)*0.25,1)</f>
        <v>3.9</v>
      </c>
      <c r="AB17" s="31" t="s">
        <v>200</v>
      </c>
      <c r="AC17" s="32" t="s">
        <v>201</v>
      </c>
      <c r="AD17" s="32" t="s">
        <v>202</v>
      </c>
      <c r="AE17" s="32" t="s">
        <v>203</v>
      </c>
      <c r="AF17" s="32" t="s">
        <v>204</v>
      </c>
      <c r="AG17" s="32" t="s">
        <v>205</v>
      </c>
      <c r="AH17" s="32" t="s">
        <v>206</v>
      </c>
      <c r="AI17" s="32" t="s">
        <v>60</v>
      </c>
      <c r="AJ17" s="32" t="s">
        <v>207</v>
      </c>
      <c r="AK17" s="32" t="s">
        <v>208</v>
      </c>
      <c r="AL17" s="32" t="s">
        <v>60</v>
      </c>
      <c r="AM17" s="32" t="s">
        <v>61</v>
      </c>
    </row>
    <row r="18" customFormat="false" ht="42" hidden="false" customHeight="true" outlineLevel="0" collapsed="false">
      <c r="A18" s="17" t="s">
        <v>209</v>
      </c>
      <c r="B18" s="17" t="s">
        <v>198</v>
      </c>
      <c r="C18" s="17" t="s">
        <v>210</v>
      </c>
      <c r="D18" s="20" t="n">
        <v>4</v>
      </c>
      <c r="E18" s="18" t="n">
        <v>5</v>
      </c>
      <c r="F18" s="21" t="n">
        <v>2</v>
      </c>
      <c r="G18" s="20" t="n">
        <v>4</v>
      </c>
      <c r="H18" s="19" t="n">
        <v>3</v>
      </c>
      <c r="I18" s="21" t="n">
        <v>2</v>
      </c>
      <c r="J18" s="20" t="n">
        <v>4</v>
      </c>
      <c r="K18" s="19" t="n">
        <v>3</v>
      </c>
      <c r="L18" s="20" t="n">
        <v>4</v>
      </c>
      <c r="M18" s="22"/>
      <c r="N18" s="20" t="n">
        <v>4</v>
      </c>
      <c r="O18" s="18" t="n">
        <v>5</v>
      </c>
      <c r="P18" s="20" t="n">
        <v>4</v>
      </c>
      <c r="Q18" s="20" t="n">
        <v>4</v>
      </c>
      <c r="R18" s="25" t="n">
        <v>2</v>
      </c>
      <c r="S18" s="25" t="n">
        <v>2</v>
      </c>
      <c r="T18" s="25" t="n">
        <v>2</v>
      </c>
      <c r="U18" s="25" t="n">
        <v>2</v>
      </c>
      <c r="V18" s="25" t="n">
        <v>2</v>
      </c>
      <c r="W18" s="20" t="n">
        <v>4</v>
      </c>
      <c r="X18" s="20" t="n">
        <v>4</v>
      </c>
      <c r="Y18" s="19" t="n">
        <v>3</v>
      </c>
      <c r="Z18" s="20" t="n">
        <v>4</v>
      </c>
      <c r="AA18" s="26" t="n">
        <f aca="false">ROUND(AVERAGE(D18:M18)*0.25+AVERAGE(N18:Q18)*0.2+AVERAGE(R18:V18)*0.3+AVERAGE(W18:Z18)*0.25,1)</f>
        <v>3.2</v>
      </c>
      <c r="AB18" s="27" t="s">
        <v>211</v>
      </c>
      <c r="AC18" s="28" t="s">
        <v>212</v>
      </c>
      <c r="AD18" s="28" t="s">
        <v>213</v>
      </c>
      <c r="AE18" s="28" t="s">
        <v>214</v>
      </c>
      <c r="AF18" s="28" t="s">
        <v>215</v>
      </c>
      <c r="AG18" s="28" t="s">
        <v>216</v>
      </c>
      <c r="AH18" s="28" t="s">
        <v>217</v>
      </c>
      <c r="AI18" s="28" t="s">
        <v>71</v>
      </c>
      <c r="AJ18" s="28" t="s">
        <v>218</v>
      </c>
      <c r="AK18" s="28" t="s">
        <v>219</v>
      </c>
      <c r="AL18" s="28" t="s">
        <v>74</v>
      </c>
      <c r="AM18" s="28" t="s">
        <v>61</v>
      </c>
    </row>
    <row r="19" customFormat="false" ht="42" hidden="false" customHeight="true" outlineLevel="0" collapsed="false">
      <c r="A19" s="29" t="s">
        <v>220</v>
      </c>
      <c r="B19" s="29" t="s">
        <v>198</v>
      </c>
      <c r="C19" s="29" t="s">
        <v>221</v>
      </c>
      <c r="D19" s="21" t="n">
        <v>2</v>
      </c>
      <c r="E19" s="21" t="n">
        <v>2</v>
      </c>
      <c r="F19" s="19" t="n">
        <v>3</v>
      </c>
      <c r="G19" s="20" t="n">
        <v>4</v>
      </c>
      <c r="H19" s="33" t="n">
        <v>1</v>
      </c>
      <c r="I19" s="33" t="n">
        <v>1</v>
      </c>
      <c r="J19" s="19" t="n">
        <v>3</v>
      </c>
      <c r="K19" s="20" t="n">
        <v>4</v>
      </c>
      <c r="L19" s="20" t="n">
        <v>4</v>
      </c>
      <c r="M19" s="30"/>
      <c r="N19" s="19" t="n">
        <v>3</v>
      </c>
      <c r="O19" s="19" t="n">
        <v>3</v>
      </c>
      <c r="P19" s="19" t="n">
        <v>3</v>
      </c>
      <c r="Q19" s="20" t="n">
        <v>4</v>
      </c>
      <c r="R19" s="25" t="n">
        <v>2</v>
      </c>
      <c r="S19" s="25" t="n">
        <v>2</v>
      </c>
      <c r="T19" s="34" t="n">
        <v>1</v>
      </c>
      <c r="U19" s="25" t="n">
        <v>2</v>
      </c>
      <c r="V19" s="23" t="n">
        <v>3</v>
      </c>
      <c r="W19" s="20" t="n">
        <v>4</v>
      </c>
      <c r="X19" s="20" t="n">
        <v>4</v>
      </c>
      <c r="Y19" s="20" t="n">
        <v>4</v>
      </c>
      <c r="Z19" s="20" t="n">
        <v>4</v>
      </c>
      <c r="AA19" s="26" t="n">
        <f aca="false">ROUND(AVERAGE(D19:M19)*0.25+AVERAGE(N19:Q19)*0.2+AVERAGE(R19:V19)*0.3+AVERAGE(W19:Z19)*0.25,1)</f>
        <v>2.9</v>
      </c>
      <c r="AB19" s="31" t="s">
        <v>222</v>
      </c>
      <c r="AC19" s="32" t="s">
        <v>223</v>
      </c>
      <c r="AD19" s="32" t="s">
        <v>224</v>
      </c>
      <c r="AE19" s="32" t="s">
        <v>225</v>
      </c>
      <c r="AF19" s="32" t="s">
        <v>226</v>
      </c>
      <c r="AG19" s="32" t="s">
        <v>227</v>
      </c>
      <c r="AH19" s="32" t="s">
        <v>228</v>
      </c>
      <c r="AI19" s="32" t="s">
        <v>71</v>
      </c>
      <c r="AJ19" s="32" t="s">
        <v>229</v>
      </c>
      <c r="AK19" s="32" t="s">
        <v>230</v>
      </c>
      <c r="AL19" s="32" t="s">
        <v>74</v>
      </c>
      <c r="AM19" s="32" t="s">
        <v>61</v>
      </c>
    </row>
    <row r="20" customFormat="false" ht="42" hidden="false" customHeight="true" outlineLevel="0" collapsed="false">
      <c r="A20" s="17" t="s">
        <v>231</v>
      </c>
      <c r="B20" s="17" t="s">
        <v>232</v>
      </c>
      <c r="C20" s="17" t="s">
        <v>233</v>
      </c>
      <c r="D20" s="20" t="n">
        <v>4</v>
      </c>
      <c r="E20" s="21" t="n">
        <v>2</v>
      </c>
      <c r="F20" s="21" t="n">
        <v>2</v>
      </c>
      <c r="G20" s="20" t="n">
        <v>4</v>
      </c>
      <c r="H20" s="18" t="n">
        <v>5</v>
      </c>
      <c r="I20" s="19" t="n">
        <v>3</v>
      </c>
      <c r="J20" s="19" t="n">
        <v>3</v>
      </c>
      <c r="K20" s="19" t="n">
        <v>3</v>
      </c>
      <c r="L20" s="20" t="n">
        <v>4</v>
      </c>
      <c r="M20" s="22"/>
      <c r="N20" s="19" t="n">
        <v>3</v>
      </c>
      <c r="O20" s="21" t="n">
        <v>2</v>
      </c>
      <c r="P20" s="19" t="n">
        <v>3</v>
      </c>
      <c r="Q20" s="19" t="n">
        <v>3</v>
      </c>
      <c r="R20" s="34" t="n">
        <v>1</v>
      </c>
      <c r="S20" s="25" t="n">
        <v>2</v>
      </c>
      <c r="T20" s="34" t="n">
        <v>1</v>
      </c>
      <c r="U20" s="34" t="n">
        <v>1</v>
      </c>
      <c r="V20" s="34" t="n">
        <v>1</v>
      </c>
      <c r="W20" s="19" t="n">
        <v>3</v>
      </c>
      <c r="X20" s="19" t="n">
        <v>3</v>
      </c>
      <c r="Y20" s="19" t="n">
        <v>3</v>
      </c>
      <c r="Z20" s="19" t="n">
        <v>3</v>
      </c>
      <c r="AA20" s="26" t="n">
        <f aca="false">ROUND(AVERAGE(D20:M20)*0.25+AVERAGE(N20:Q20)*0.2+AVERAGE(R20:V20)*0.3+AVERAGE(W20:Z20)*0.25,1)</f>
        <v>2.5</v>
      </c>
      <c r="AB20" s="27" t="s">
        <v>234</v>
      </c>
      <c r="AC20" s="28" t="s">
        <v>235</v>
      </c>
      <c r="AD20" s="28" t="s">
        <v>236</v>
      </c>
      <c r="AE20" s="28" t="s">
        <v>237</v>
      </c>
      <c r="AF20" s="28" t="s">
        <v>238</v>
      </c>
      <c r="AG20" s="28" t="s">
        <v>239</v>
      </c>
      <c r="AH20" s="28" t="s">
        <v>240</v>
      </c>
      <c r="AI20" s="28" t="s">
        <v>60</v>
      </c>
      <c r="AJ20" s="28" t="s">
        <v>241</v>
      </c>
      <c r="AK20" s="28" t="s">
        <v>242</v>
      </c>
      <c r="AL20" s="28" t="s">
        <v>74</v>
      </c>
      <c r="AM20" s="28" t="s">
        <v>61</v>
      </c>
    </row>
    <row r="21" customFormat="false" ht="42" hidden="false" customHeight="true" outlineLevel="0" collapsed="false">
      <c r="A21" s="29" t="s">
        <v>243</v>
      </c>
      <c r="B21" s="29" t="s">
        <v>232</v>
      </c>
      <c r="C21" s="29" t="s">
        <v>244</v>
      </c>
      <c r="D21" s="21" t="n">
        <v>2</v>
      </c>
      <c r="E21" s="21" t="n">
        <v>2</v>
      </c>
      <c r="F21" s="21" t="n">
        <v>2</v>
      </c>
      <c r="G21" s="21" t="n">
        <v>2</v>
      </c>
      <c r="H21" s="19" t="n">
        <v>3</v>
      </c>
      <c r="I21" s="33" t="n">
        <v>1</v>
      </c>
      <c r="J21" s="19" t="n">
        <v>3</v>
      </c>
      <c r="K21" s="21" t="n">
        <v>2</v>
      </c>
      <c r="L21" s="21" t="n">
        <v>2</v>
      </c>
      <c r="M21" s="30"/>
      <c r="N21" s="21" t="n">
        <v>2</v>
      </c>
      <c r="O21" s="21" t="n">
        <v>2</v>
      </c>
      <c r="P21" s="19" t="n">
        <v>3</v>
      </c>
      <c r="Q21" s="21" t="n">
        <v>2</v>
      </c>
      <c r="R21" s="34" t="n">
        <v>1</v>
      </c>
      <c r="S21" s="25" t="n">
        <v>2</v>
      </c>
      <c r="T21" s="34" t="n">
        <v>1</v>
      </c>
      <c r="U21" s="34" t="n">
        <v>1</v>
      </c>
      <c r="V21" s="34" t="n">
        <v>1</v>
      </c>
      <c r="W21" s="19" t="n">
        <v>3</v>
      </c>
      <c r="X21" s="19" t="n">
        <v>3</v>
      </c>
      <c r="Y21" s="19" t="n">
        <v>3</v>
      </c>
      <c r="Z21" s="19" t="n">
        <v>3</v>
      </c>
      <c r="AA21" s="26" t="n">
        <f aca="false">ROUND(AVERAGE(D21:M21)*0.25+AVERAGE(N21:Q21)*0.2+AVERAGE(R21:V21)*0.3+AVERAGE(W21:Z21)*0.25,1)</f>
        <v>2.1</v>
      </c>
      <c r="AB21" s="31" t="s">
        <v>245</v>
      </c>
      <c r="AC21" s="32" t="s">
        <v>246</v>
      </c>
      <c r="AD21" s="32" t="s">
        <v>247</v>
      </c>
      <c r="AE21" s="32" t="s">
        <v>248</v>
      </c>
      <c r="AF21" s="32" t="s">
        <v>249</v>
      </c>
      <c r="AG21" s="32" t="s">
        <v>250</v>
      </c>
      <c r="AH21" s="32" t="s">
        <v>251</v>
      </c>
      <c r="AI21" s="32" t="s">
        <v>60</v>
      </c>
      <c r="AJ21" s="32" t="s">
        <v>252</v>
      </c>
      <c r="AK21" s="32" t="s">
        <v>253</v>
      </c>
      <c r="AL21" s="32" t="s">
        <v>254</v>
      </c>
      <c r="AM21" s="32" t="s">
        <v>61</v>
      </c>
    </row>
    <row r="22" customFormat="false" ht="42" hidden="false" customHeight="true" outlineLevel="0" collapsed="false">
      <c r="A22" s="17" t="s">
        <v>255</v>
      </c>
      <c r="B22" s="17" t="s">
        <v>232</v>
      </c>
      <c r="C22" s="17" t="s">
        <v>256</v>
      </c>
      <c r="D22" s="18" t="n">
        <v>5</v>
      </c>
      <c r="E22" s="20" t="n">
        <v>4</v>
      </c>
      <c r="F22" s="20" t="n">
        <v>4</v>
      </c>
      <c r="G22" s="20" t="n">
        <v>4</v>
      </c>
      <c r="H22" s="19" t="n">
        <v>3</v>
      </c>
      <c r="I22" s="19" t="n">
        <v>3</v>
      </c>
      <c r="J22" s="18" t="n">
        <v>5</v>
      </c>
      <c r="K22" s="18" t="n">
        <v>5</v>
      </c>
      <c r="L22" s="18" t="n">
        <v>5</v>
      </c>
      <c r="M22" s="22"/>
      <c r="N22" s="18" t="n">
        <v>5</v>
      </c>
      <c r="O22" s="18" t="n">
        <v>5</v>
      </c>
      <c r="P22" s="18" t="n">
        <v>5</v>
      </c>
      <c r="Q22" s="18" t="n">
        <v>5</v>
      </c>
      <c r="R22" s="24" t="n">
        <v>4</v>
      </c>
      <c r="S22" s="35" t="n">
        <v>5</v>
      </c>
      <c r="T22" s="23" t="n">
        <v>3</v>
      </c>
      <c r="U22" s="25" t="n">
        <v>2</v>
      </c>
      <c r="V22" s="25" t="n">
        <v>2</v>
      </c>
      <c r="W22" s="18" t="n">
        <v>5</v>
      </c>
      <c r="X22" s="18" t="n">
        <v>5</v>
      </c>
      <c r="Y22" s="18" t="n">
        <v>5</v>
      </c>
      <c r="Z22" s="18" t="n">
        <v>5</v>
      </c>
      <c r="AA22" s="26" t="n">
        <f aca="false">ROUND(AVERAGE(D22:M22)*0.25+AVERAGE(N22:Q22)*0.2+AVERAGE(R22:V22)*0.3+AVERAGE(W22:Z22)*0.25,1)</f>
        <v>4.3</v>
      </c>
      <c r="AB22" s="27" t="s">
        <v>257</v>
      </c>
      <c r="AC22" s="28" t="s">
        <v>258</v>
      </c>
      <c r="AD22" s="28" t="s">
        <v>259</v>
      </c>
      <c r="AE22" s="28" t="s">
        <v>260</v>
      </c>
      <c r="AF22" s="28" t="s">
        <v>261</v>
      </c>
      <c r="AG22" s="28" t="s">
        <v>262</v>
      </c>
      <c r="AH22" s="28" t="s">
        <v>263</v>
      </c>
      <c r="AI22" s="28" t="s">
        <v>71</v>
      </c>
      <c r="AJ22" s="28" t="s">
        <v>264</v>
      </c>
      <c r="AK22" s="28" t="s">
        <v>265</v>
      </c>
      <c r="AL22" s="28" t="s">
        <v>60</v>
      </c>
      <c r="AM22" s="28" t="s">
        <v>61</v>
      </c>
    </row>
    <row r="23" customFormat="false" ht="42" hidden="false" customHeight="true" outlineLevel="0" collapsed="false">
      <c r="A23" s="29" t="s">
        <v>266</v>
      </c>
      <c r="B23" s="29" t="s">
        <v>267</v>
      </c>
      <c r="C23" s="29" t="s">
        <v>268</v>
      </c>
      <c r="D23" s="19" t="n">
        <v>3</v>
      </c>
      <c r="E23" s="20" t="n">
        <v>4</v>
      </c>
      <c r="F23" s="20" t="n">
        <v>4</v>
      </c>
      <c r="G23" s="20" t="n">
        <v>4</v>
      </c>
      <c r="H23" s="33" t="n">
        <v>1</v>
      </c>
      <c r="I23" s="21" t="n">
        <v>2</v>
      </c>
      <c r="J23" s="18" t="n">
        <v>5</v>
      </c>
      <c r="K23" s="20" t="n">
        <v>4</v>
      </c>
      <c r="L23" s="18" t="n">
        <v>5</v>
      </c>
      <c r="M23" s="30"/>
      <c r="N23" s="20" t="n">
        <v>4</v>
      </c>
      <c r="O23" s="18" t="n">
        <v>5</v>
      </c>
      <c r="P23" s="18" t="n">
        <v>5</v>
      </c>
      <c r="Q23" s="18" t="n">
        <v>5</v>
      </c>
      <c r="R23" s="23" t="n">
        <v>3</v>
      </c>
      <c r="S23" s="23" t="n">
        <v>3</v>
      </c>
      <c r="T23" s="25" t="n">
        <v>2</v>
      </c>
      <c r="U23" s="25" t="n">
        <v>2</v>
      </c>
      <c r="V23" s="23" t="n">
        <v>3</v>
      </c>
      <c r="W23" s="18" t="n">
        <v>5</v>
      </c>
      <c r="X23" s="20" t="n">
        <v>4</v>
      </c>
      <c r="Y23" s="18" t="n">
        <v>5</v>
      </c>
      <c r="Z23" s="20" t="n">
        <v>4</v>
      </c>
      <c r="AA23" s="26" t="n">
        <f aca="false">ROUND(AVERAGE(D23:M23)*0.25+AVERAGE(N23:Q23)*0.2+AVERAGE(R23:V23)*0.3+AVERAGE(W23:Z23)*0.25,1)</f>
        <v>3.7</v>
      </c>
      <c r="AB23" s="31" t="s">
        <v>269</v>
      </c>
      <c r="AC23" s="32" t="s">
        <v>270</v>
      </c>
      <c r="AD23" s="32" t="s">
        <v>271</v>
      </c>
      <c r="AE23" s="32" t="s">
        <v>272</v>
      </c>
      <c r="AF23" s="32" t="s">
        <v>273</v>
      </c>
      <c r="AG23" s="32" t="s">
        <v>274</v>
      </c>
      <c r="AH23" s="32" t="s">
        <v>275</v>
      </c>
      <c r="AI23" s="32" t="s">
        <v>71</v>
      </c>
      <c r="AJ23" s="32" t="s">
        <v>276</v>
      </c>
      <c r="AK23" s="32" t="s">
        <v>277</v>
      </c>
      <c r="AL23" s="32" t="s">
        <v>71</v>
      </c>
      <c r="AM23" s="32" t="s">
        <v>61</v>
      </c>
    </row>
    <row r="24" customFormat="false" ht="42" hidden="false" customHeight="true" outlineLevel="0" collapsed="false">
      <c r="A24" s="17" t="s">
        <v>278</v>
      </c>
      <c r="B24" s="17" t="s">
        <v>267</v>
      </c>
      <c r="C24" s="17" t="s">
        <v>279</v>
      </c>
      <c r="D24" s="19" t="n">
        <v>3</v>
      </c>
      <c r="E24" s="19" t="n">
        <v>3</v>
      </c>
      <c r="F24" s="20" t="n">
        <v>4</v>
      </c>
      <c r="G24" s="19" t="n">
        <v>3</v>
      </c>
      <c r="H24" s="33" t="n">
        <v>1</v>
      </c>
      <c r="I24" s="21" t="n">
        <v>2</v>
      </c>
      <c r="J24" s="20" t="n">
        <v>4</v>
      </c>
      <c r="K24" s="19" t="n">
        <v>3</v>
      </c>
      <c r="L24" s="20" t="n">
        <v>4</v>
      </c>
      <c r="M24" s="22"/>
      <c r="N24" s="19" t="n">
        <v>3</v>
      </c>
      <c r="O24" s="20" t="n">
        <v>4</v>
      </c>
      <c r="P24" s="20" t="n">
        <v>4</v>
      </c>
      <c r="Q24" s="20" t="n">
        <v>4</v>
      </c>
      <c r="R24" s="23" t="n">
        <v>3</v>
      </c>
      <c r="S24" s="23" t="n">
        <v>3</v>
      </c>
      <c r="T24" s="25" t="n">
        <v>2</v>
      </c>
      <c r="U24" s="25" t="n">
        <v>2</v>
      </c>
      <c r="V24" s="25" t="n">
        <v>2</v>
      </c>
      <c r="W24" s="20" t="n">
        <v>4</v>
      </c>
      <c r="X24" s="20" t="n">
        <v>4</v>
      </c>
      <c r="Y24" s="20" t="n">
        <v>4</v>
      </c>
      <c r="Z24" s="20" t="n">
        <v>4</v>
      </c>
      <c r="AA24" s="26" t="n">
        <f aca="false">ROUND(AVERAGE(D24:M24)*0.25+AVERAGE(N24:Q24)*0.2+AVERAGE(R24:V24)*0.3+AVERAGE(W24:Z24)*0.25,1)</f>
        <v>3.2</v>
      </c>
      <c r="AB24" s="27" t="s">
        <v>280</v>
      </c>
      <c r="AC24" s="28" t="s">
        <v>281</v>
      </c>
      <c r="AD24" s="28" t="s">
        <v>282</v>
      </c>
      <c r="AE24" s="28" t="s">
        <v>283</v>
      </c>
      <c r="AF24" s="28" t="s">
        <v>284</v>
      </c>
      <c r="AG24" s="28" t="s">
        <v>285</v>
      </c>
      <c r="AH24" s="28" t="s">
        <v>286</v>
      </c>
      <c r="AI24" s="28" t="s">
        <v>71</v>
      </c>
      <c r="AJ24" s="28" t="s">
        <v>287</v>
      </c>
      <c r="AK24" s="28" t="s">
        <v>288</v>
      </c>
      <c r="AL24" s="28" t="s">
        <v>74</v>
      </c>
      <c r="AM24" s="28" t="s">
        <v>61</v>
      </c>
    </row>
    <row r="25" customFormat="false" ht="42" hidden="false" customHeight="true" outlineLevel="0" collapsed="false">
      <c r="A25" s="29" t="s">
        <v>289</v>
      </c>
      <c r="B25" s="29" t="s">
        <v>110</v>
      </c>
      <c r="C25" s="29" t="s">
        <v>290</v>
      </c>
      <c r="D25" s="19" t="n">
        <v>3</v>
      </c>
      <c r="E25" s="19" t="n">
        <v>3</v>
      </c>
      <c r="F25" s="20" t="n">
        <v>4</v>
      </c>
      <c r="G25" s="18" t="n">
        <v>5</v>
      </c>
      <c r="H25" s="21" t="n">
        <v>2</v>
      </c>
      <c r="I25" s="21" t="n">
        <v>2</v>
      </c>
      <c r="J25" s="20" t="n">
        <v>4</v>
      </c>
      <c r="K25" s="18" t="n">
        <v>5</v>
      </c>
      <c r="L25" s="18" t="n">
        <v>5</v>
      </c>
      <c r="M25" s="30"/>
      <c r="N25" s="20" t="n">
        <v>4</v>
      </c>
      <c r="O25" s="18" t="n">
        <v>5</v>
      </c>
      <c r="P25" s="20" t="n">
        <v>4</v>
      </c>
      <c r="Q25" s="18" t="n">
        <v>5</v>
      </c>
      <c r="R25" s="24" t="n">
        <v>4</v>
      </c>
      <c r="S25" s="23" t="n">
        <v>3</v>
      </c>
      <c r="T25" s="25" t="n">
        <v>2</v>
      </c>
      <c r="U25" s="24" t="n">
        <v>4</v>
      </c>
      <c r="V25" s="24" t="n">
        <v>4</v>
      </c>
      <c r="W25" s="20" t="n">
        <v>4</v>
      </c>
      <c r="X25" s="20" t="n">
        <v>4</v>
      </c>
      <c r="Y25" s="18" t="n">
        <v>5</v>
      </c>
      <c r="Z25" s="18" t="n">
        <v>5</v>
      </c>
      <c r="AA25" s="26" t="n">
        <f aca="false">ROUND(AVERAGE(D25:M25)*0.25+AVERAGE(N25:Q25)*0.2+AVERAGE(R25:V25)*0.3+AVERAGE(W25:Z25)*0.25,1)</f>
        <v>4</v>
      </c>
      <c r="AB25" s="31" t="s">
        <v>291</v>
      </c>
      <c r="AC25" s="32" t="s">
        <v>292</v>
      </c>
      <c r="AD25" s="32" t="s">
        <v>293</v>
      </c>
      <c r="AE25" s="32" t="s">
        <v>294</v>
      </c>
      <c r="AF25" s="32" t="s">
        <v>295</v>
      </c>
      <c r="AG25" s="32" t="s">
        <v>296</v>
      </c>
      <c r="AH25" s="32" t="s">
        <v>297</v>
      </c>
      <c r="AI25" s="32" t="s">
        <v>71</v>
      </c>
      <c r="AJ25" s="32" t="s">
        <v>298</v>
      </c>
      <c r="AK25" s="32" t="s">
        <v>299</v>
      </c>
      <c r="AL25" s="32" t="s">
        <v>71</v>
      </c>
      <c r="AM25" s="32" t="s">
        <v>61</v>
      </c>
    </row>
    <row r="26" customFormat="false" ht="42" hidden="false" customHeight="true" outlineLevel="0" collapsed="false">
      <c r="A26" s="17" t="s">
        <v>300</v>
      </c>
      <c r="B26" s="17" t="s">
        <v>158</v>
      </c>
      <c r="C26" s="17" t="s">
        <v>301</v>
      </c>
      <c r="D26" s="33" t="n">
        <v>1</v>
      </c>
      <c r="E26" s="33" t="n">
        <v>1</v>
      </c>
      <c r="F26" s="20" t="n">
        <v>4</v>
      </c>
      <c r="G26" s="18" t="n">
        <v>5</v>
      </c>
      <c r="H26" s="33" t="n">
        <v>1</v>
      </c>
      <c r="I26" s="33" t="n">
        <v>1</v>
      </c>
      <c r="J26" s="21" t="n">
        <v>2</v>
      </c>
      <c r="K26" s="18" t="n">
        <v>5</v>
      </c>
      <c r="L26" s="20" t="n">
        <v>4</v>
      </c>
      <c r="M26" s="22"/>
      <c r="N26" s="20" t="n">
        <v>4</v>
      </c>
      <c r="O26" s="19" t="n">
        <v>3</v>
      </c>
      <c r="P26" s="21" t="n">
        <v>2</v>
      </c>
      <c r="Q26" s="18" t="n">
        <v>5</v>
      </c>
      <c r="R26" s="23" t="n">
        <v>3</v>
      </c>
      <c r="S26" s="23" t="n">
        <v>3</v>
      </c>
      <c r="T26" s="23" t="n">
        <v>3</v>
      </c>
      <c r="U26" s="23" t="n">
        <v>3</v>
      </c>
      <c r="V26" s="35" t="n">
        <v>5</v>
      </c>
      <c r="W26" s="19" t="n">
        <v>3</v>
      </c>
      <c r="X26" s="21" t="n">
        <v>2</v>
      </c>
      <c r="Y26" s="18" t="n">
        <v>5</v>
      </c>
      <c r="Z26" s="20" t="n">
        <v>4</v>
      </c>
      <c r="AA26" s="26" t="n">
        <f aca="false">ROUND(AVERAGE(D26:M26)*0.25+AVERAGE(N26:Q26)*0.2+AVERAGE(R26:V26)*0.3+AVERAGE(W26:Z26)*0.25,1)</f>
        <v>3.3</v>
      </c>
      <c r="AB26" s="27" t="s">
        <v>302</v>
      </c>
      <c r="AC26" s="28" t="s">
        <v>303</v>
      </c>
      <c r="AD26" s="28" t="s">
        <v>304</v>
      </c>
      <c r="AE26" s="28" t="s">
        <v>305</v>
      </c>
      <c r="AF26" s="28" t="s">
        <v>306</v>
      </c>
      <c r="AG26" s="28" t="s">
        <v>307</v>
      </c>
      <c r="AH26" s="28" t="s">
        <v>308</v>
      </c>
      <c r="AI26" s="28" t="s">
        <v>60</v>
      </c>
      <c r="AJ26" s="28" t="s">
        <v>158</v>
      </c>
      <c r="AK26" s="28" t="s">
        <v>167</v>
      </c>
      <c r="AL26" s="28" t="s">
        <v>71</v>
      </c>
      <c r="AM26" s="28" t="s">
        <v>61</v>
      </c>
    </row>
    <row r="27" customFormat="false" ht="42" hidden="false" customHeight="true" outlineLevel="0" collapsed="false">
      <c r="A27" s="29" t="s">
        <v>309</v>
      </c>
      <c r="B27" s="29" t="s">
        <v>310</v>
      </c>
      <c r="C27" s="29" t="s">
        <v>311</v>
      </c>
      <c r="D27" s="21" t="n">
        <v>2</v>
      </c>
      <c r="E27" s="19" t="n">
        <v>3</v>
      </c>
      <c r="F27" s="18" t="n">
        <v>5</v>
      </c>
      <c r="G27" s="18" t="n">
        <v>5</v>
      </c>
      <c r="H27" s="33" t="n">
        <v>1</v>
      </c>
      <c r="I27" s="33" t="n">
        <v>1</v>
      </c>
      <c r="J27" s="20" t="n">
        <v>4</v>
      </c>
      <c r="K27" s="18" t="n">
        <v>5</v>
      </c>
      <c r="L27" s="18" t="n">
        <v>5</v>
      </c>
      <c r="M27" s="30"/>
      <c r="N27" s="18" t="n">
        <v>5</v>
      </c>
      <c r="O27" s="18" t="n">
        <v>5</v>
      </c>
      <c r="P27" s="20" t="n">
        <v>4</v>
      </c>
      <c r="Q27" s="18" t="n">
        <v>5</v>
      </c>
      <c r="R27" s="35" t="n">
        <v>5</v>
      </c>
      <c r="S27" s="35" t="n">
        <v>5</v>
      </c>
      <c r="T27" s="24" t="n">
        <v>4</v>
      </c>
      <c r="U27" s="23" t="n">
        <v>3</v>
      </c>
      <c r="V27" s="24" t="n">
        <v>4</v>
      </c>
      <c r="W27" s="18" t="n">
        <v>5</v>
      </c>
      <c r="X27" s="20" t="n">
        <v>4</v>
      </c>
      <c r="Y27" s="18" t="n">
        <v>5</v>
      </c>
      <c r="Z27" s="18" t="n">
        <v>5</v>
      </c>
      <c r="AA27" s="26" t="n">
        <f aca="false">ROUND(AVERAGE(D27:M27)*0.25+AVERAGE(N27:Q27)*0.2+AVERAGE(R27:V27)*0.3+AVERAGE(W27:Z27)*0.25,1)</f>
        <v>4.3</v>
      </c>
      <c r="AB27" s="31" t="s">
        <v>312</v>
      </c>
      <c r="AC27" s="32" t="s">
        <v>313</v>
      </c>
      <c r="AD27" s="32" t="s">
        <v>314</v>
      </c>
      <c r="AE27" s="32" t="s">
        <v>315</v>
      </c>
      <c r="AF27" s="32" t="s">
        <v>316</v>
      </c>
      <c r="AG27" s="32" t="s">
        <v>317</v>
      </c>
      <c r="AH27" s="32" t="s">
        <v>318</v>
      </c>
      <c r="AI27" s="32" t="s">
        <v>71</v>
      </c>
      <c r="AJ27" s="32" t="s">
        <v>319</v>
      </c>
      <c r="AK27" s="32" t="s">
        <v>320</v>
      </c>
      <c r="AL27" s="32" t="s">
        <v>71</v>
      </c>
      <c r="AM27" s="32" t="s">
        <v>61</v>
      </c>
    </row>
    <row r="28" customFormat="false" ht="42" hidden="false" customHeight="true" outlineLevel="0" collapsed="false">
      <c r="A28" s="17" t="s">
        <v>321</v>
      </c>
      <c r="B28" s="17" t="s">
        <v>322</v>
      </c>
      <c r="C28" s="17" t="s">
        <v>323</v>
      </c>
      <c r="D28" s="19" t="n">
        <v>3</v>
      </c>
      <c r="E28" s="19" t="n">
        <v>3</v>
      </c>
      <c r="F28" s="20" t="n">
        <v>4</v>
      </c>
      <c r="G28" s="19" t="n">
        <v>3</v>
      </c>
      <c r="H28" s="19" t="n">
        <v>3</v>
      </c>
      <c r="I28" s="19" t="n">
        <v>3</v>
      </c>
      <c r="J28" s="18" t="n">
        <v>5</v>
      </c>
      <c r="K28" s="19" t="n">
        <v>3</v>
      </c>
      <c r="L28" s="20" t="n">
        <v>4</v>
      </c>
      <c r="M28" s="22"/>
      <c r="N28" s="20" t="n">
        <v>4</v>
      </c>
      <c r="O28" s="18" t="n">
        <v>5</v>
      </c>
      <c r="P28" s="18" t="n">
        <v>5</v>
      </c>
      <c r="Q28" s="20" t="n">
        <v>4</v>
      </c>
      <c r="R28" s="24" t="n">
        <v>4</v>
      </c>
      <c r="S28" s="23" t="n">
        <v>3</v>
      </c>
      <c r="T28" s="25" t="n">
        <v>2</v>
      </c>
      <c r="U28" s="24" t="n">
        <v>4</v>
      </c>
      <c r="V28" s="23" t="n">
        <v>3</v>
      </c>
      <c r="W28" s="18" t="n">
        <v>5</v>
      </c>
      <c r="X28" s="18" t="n">
        <v>5</v>
      </c>
      <c r="Y28" s="18" t="n">
        <v>5</v>
      </c>
      <c r="Z28" s="18" t="n">
        <v>5</v>
      </c>
      <c r="AA28" s="26" t="n">
        <f aca="false">ROUND(AVERAGE(D28:M28)*0.25+AVERAGE(N28:Q28)*0.2+AVERAGE(R28:V28)*0.3+AVERAGE(W28:Z28)*0.25,1)</f>
        <v>4</v>
      </c>
      <c r="AB28" s="27" t="s">
        <v>324</v>
      </c>
      <c r="AC28" s="28" t="s">
        <v>325</v>
      </c>
      <c r="AD28" s="28" t="s">
        <v>326</v>
      </c>
      <c r="AE28" s="28" t="s">
        <v>327</v>
      </c>
      <c r="AF28" s="28" t="s">
        <v>328</v>
      </c>
      <c r="AG28" s="28" t="s">
        <v>329</v>
      </c>
      <c r="AH28" s="28" t="s">
        <v>330</v>
      </c>
      <c r="AI28" s="28" t="s">
        <v>71</v>
      </c>
      <c r="AJ28" s="28" t="s">
        <v>331</v>
      </c>
      <c r="AK28" s="28" t="s">
        <v>332</v>
      </c>
      <c r="AL28" s="28" t="s">
        <v>60</v>
      </c>
      <c r="AM28" s="28" t="s">
        <v>61</v>
      </c>
    </row>
    <row r="29" customFormat="false" ht="42" hidden="false" customHeight="true" outlineLevel="0" collapsed="false">
      <c r="A29" s="29" t="s">
        <v>333</v>
      </c>
      <c r="B29" s="29" t="s">
        <v>76</v>
      </c>
      <c r="C29" s="29" t="s">
        <v>334</v>
      </c>
      <c r="D29" s="20" t="n">
        <v>4</v>
      </c>
      <c r="E29" s="18" t="n">
        <v>5</v>
      </c>
      <c r="F29" s="18" t="n">
        <v>5</v>
      </c>
      <c r="G29" s="20" t="n">
        <v>4</v>
      </c>
      <c r="H29" s="33" t="n">
        <v>1</v>
      </c>
      <c r="I29" s="21" t="n">
        <v>2</v>
      </c>
      <c r="J29" s="18" t="n">
        <v>5</v>
      </c>
      <c r="K29" s="18" t="n">
        <v>5</v>
      </c>
      <c r="L29" s="18" t="n">
        <v>5</v>
      </c>
      <c r="M29" s="30"/>
      <c r="N29" s="18" t="n">
        <v>5</v>
      </c>
      <c r="O29" s="18" t="n">
        <v>5</v>
      </c>
      <c r="P29" s="18" t="n">
        <v>5</v>
      </c>
      <c r="Q29" s="18" t="n">
        <v>5</v>
      </c>
      <c r="R29" s="24" t="n">
        <v>4</v>
      </c>
      <c r="S29" s="24" t="n">
        <v>4</v>
      </c>
      <c r="T29" s="23" t="n">
        <v>3</v>
      </c>
      <c r="U29" s="25" t="n">
        <v>2</v>
      </c>
      <c r="V29" s="25" t="n">
        <v>2</v>
      </c>
      <c r="W29" s="18" t="n">
        <v>5</v>
      </c>
      <c r="X29" s="18" t="n">
        <v>5</v>
      </c>
      <c r="Y29" s="18" t="n">
        <v>5</v>
      </c>
      <c r="Z29" s="18" t="n">
        <v>5</v>
      </c>
      <c r="AA29" s="26" t="n">
        <f aca="false">ROUND(AVERAGE(D29:M29)*0.25+AVERAGE(N29:Q29)*0.2+AVERAGE(R29:V29)*0.3+AVERAGE(W29:Z29)*0.25,1)</f>
        <v>4.2</v>
      </c>
      <c r="AB29" s="31" t="s">
        <v>335</v>
      </c>
      <c r="AC29" s="32" t="s">
        <v>336</v>
      </c>
      <c r="AD29" s="32" t="s">
        <v>337</v>
      </c>
      <c r="AE29" s="32" t="s">
        <v>338</v>
      </c>
      <c r="AF29" s="32" t="s">
        <v>339</v>
      </c>
      <c r="AG29" s="32" t="s">
        <v>340</v>
      </c>
      <c r="AH29" s="32" t="s">
        <v>341</v>
      </c>
      <c r="AI29" s="32" t="s">
        <v>71</v>
      </c>
      <c r="AJ29" s="32" t="s">
        <v>342</v>
      </c>
      <c r="AK29" s="32" t="s">
        <v>343</v>
      </c>
      <c r="AL29" s="32" t="s">
        <v>71</v>
      </c>
      <c r="AM29" s="32" t="s">
        <v>61</v>
      </c>
    </row>
    <row r="30" customFormat="false" ht="42" hidden="false" customHeight="true" outlineLevel="0" collapsed="false">
      <c r="A30" s="17" t="s">
        <v>344</v>
      </c>
      <c r="B30" s="17" t="s">
        <v>198</v>
      </c>
      <c r="C30" s="17" t="s">
        <v>345</v>
      </c>
      <c r="D30" s="20" t="n">
        <v>4</v>
      </c>
      <c r="E30" s="20" t="n">
        <v>4</v>
      </c>
      <c r="F30" s="21" t="n">
        <v>2</v>
      </c>
      <c r="G30" s="20" t="n">
        <v>4</v>
      </c>
      <c r="H30" s="19" t="n">
        <v>3</v>
      </c>
      <c r="I30" s="21" t="n">
        <v>2</v>
      </c>
      <c r="J30" s="20" t="n">
        <v>4</v>
      </c>
      <c r="K30" s="19" t="n">
        <v>3</v>
      </c>
      <c r="L30" s="20" t="n">
        <v>4</v>
      </c>
      <c r="M30" s="22"/>
      <c r="N30" s="20" t="n">
        <v>4</v>
      </c>
      <c r="O30" s="20" t="n">
        <v>4</v>
      </c>
      <c r="P30" s="20" t="n">
        <v>4</v>
      </c>
      <c r="Q30" s="20" t="n">
        <v>4</v>
      </c>
      <c r="R30" s="25" t="n">
        <v>2</v>
      </c>
      <c r="S30" s="23" t="n">
        <v>3</v>
      </c>
      <c r="T30" s="25" t="n">
        <v>2</v>
      </c>
      <c r="U30" s="25" t="n">
        <v>2</v>
      </c>
      <c r="V30" s="25" t="n">
        <v>2</v>
      </c>
      <c r="W30" s="20" t="n">
        <v>4</v>
      </c>
      <c r="X30" s="20" t="n">
        <v>4</v>
      </c>
      <c r="Y30" s="19" t="n">
        <v>3</v>
      </c>
      <c r="Z30" s="20" t="n">
        <v>4</v>
      </c>
      <c r="AA30" s="26" t="n">
        <f aca="false">ROUND(AVERAGE(D30:M30)*0.25+AVERAGE(N30:Q30)*0.2+AVERAGE(R30:V30)*0.3+AVERAGE(W30:Z30)*0.25,1)</f>
        <v>3.2</v>
      </c>
      <c r="AB30" s="27" t="s">
        <v>346</v>
      </c>
      <c r="AC30" s="28" t="s">
        <v>347</v>
      </c>
      <c r="AD30" s="28" t="s">
        <v>348</v>
      </c>
      <c r="AE30" s="28" t="s">
        <v>349</v>
      </c>
      <c r="AF30" s="28" t="s">
        <v>350</v>
      </c>
      <c r="AG30" s="28" t="s">
        <v>351</v>
      </c>
      <c r="AH30" s="28" t="s">
        <v>206</v>
      </c>
      <c r="AI30" s="28" t="s">
        <v>60</v>
      </c>
      <c r="AJ30" s="28" t="s">
        <v>352</v>
      </c>
      <c r="AK30" s="28" t="s">
        <v>353</v>
      </c>
      <c r="AL30" s="28" t="s">
        <v>74</v>
      </c>
      <c r="AM30" s="28" t="s">
        <v>61</v>
      </c>
    </row>
    <row r="31" customFormat="false" ht="42" hidden="false" customHeight="true" outlineLevel="0" collapsed="false">
      <c r="A31" s="29" t="s">
        <v>354</v>
      </c>
      <c r="B31" s="29" t="s">
        <v>110</v>
      </c>
      <c r="C31" s="29" t="s">
        <v>355</v>
      </c>
      <c r="D31" s="21" t="n">
        <v>2</v>
      </c>
      <c r="E31" s="19" t="n">
        <v>3</v>
      </c>
      <c r="F31" s="18" t="n">
        <v>5</v>
      </c>
      <c r="G31" s="18" t="n">
        <v>5</v>
      </c>
      <c r="H31" s="33" t="n">
        <v>1</v>
      </c>
      <c r="I31" s="33" t="n">
        <v>1</v>
      </c>
      <c r="J31" s="20" t="n">
        <v>4</v>
      </c>
      <c r="K31" s="18" t="n">
        <v>5</v>
      </c>
      <c r="L31" s="20" t="n">
        <v>4</v>
      </c>
      <c r="M31" s="30"/>
      <c r="N31" s="20" t="n">
        <v>4</v>
      </c>
      <c r="O31" s="18" t="n">
        <v>5</v>
      </c>
      <c r="P31" s="20" t="n">
        <v>4</v>
      </c>
      <c r="Q31" s="18" t="n">
        <v>5</v>
      </c>
      <c r="R31" s="24" t="n">
        <v>4</v>
      </c>
      <c r="S31" s="24" t="n">
        <v>4</v>
      </c>
      <c r="T31" s="25" t="n">
        <v>2</v>
      </c>
      <c r="U31" s="23" t="n">
        <v>3</v>
      </c>
      <c r="V31" s="24" t="n">
        <v>4</v>
      </c>
      <c r="W31" s="20" t="n">
        <v>4</v>
      </c>
      <c r="X31" s="20" t="n">
        <v>4</v>
      </c>
      <c r="Y31" s="18" t="n">
        <v>5</v>
      </c>
      <c r="Z31" s="20" t="n">
        <v>4</v>
      </c>
      <c r="AA31" s="26" t="n">
        <f aca="false">ROUND(AVERAGE(D31:M31)*0.25+AVERAGE(N31:Q31)*0.2+AVERAGE(R31:V31)*0.3+AVERAGE(W31:Z31)*0.25,1)</f>
        <v>3.8</v>
      </c>
      <c r="AB31" s="31" t="s">
        <v>356</v>
      </c>
      <c r="AC31" s="32" t="s">
        <v>357</v>
      </c>
      <c r="AD31" s="32" t="s">
        <v>358</v>
      </c>
      <c r="AE31" s="32" t="s">
        <v>359</v>
      </c>
      <c r="AF31" s="32" t="s">
        <v>360</v>
      </c>
      <c r="AG31" s="32" t="s">
        <v>361</v>
      </c>
      <c r="AH31" s="32" t="s">
        <v>362</v>
      </c>
      <c r="AI31" s="32" t="s">
        <v>60</v>
      </c>
      <c r="AJ31" s="32" t="s">
        <v>363</v>
      </c>
      <c r="AK31" s="32" t="s">
        <v>364</v>
      </c>
      <c r="AL31" s="32" t="s">
        <v>71</v>
      </c>
      <c r="AM31" s="32" t="s">
        <v>61</v>
      </c>
    </row>
    <row r="32" customFormat="false" ht="42" hidden="false" customHeight="true" outlineLevel="0" collapsed="false">
      <c r="A32" s="17" t="s">
        <v>365</v>
      </c>
      <c r="B32" s="17" t="s">
        <v>366</v>
      </c>
      <c r="C32" s="17" t="s">
        <v>367</v>
      </c>
      <c r="D32" s="19" t="n">
        <v>3</v>
      </c>
      <c r="E32" s="33" t="n">
        <v>1</v>
      </c>
      <c r="F32" s="18" t="n">
        <v>5</v>
      </c>
      <c r="G32" s="18" t="n">
        <v>5</v>
      </c>
      <c r="H32" s="19" t="n">
        <v>3</v>
      </c>
      <c r="I32" s="19" t="n">
        <v>3</v>
      </c>
      <c r="J32" s="19" t="n">
        <v>3</v>
      </c>
      <c r="K32" s="18" t="n">
        <v>5</v>
      </c>
      <c r="L32" s="18" t="n">
        <v>5</v>
      </c>
      <c r="M32" s="22"/>
      <c r="N32" s="18" t="n">
        <v>5</v>
      </c>
      <c r="O32" s="18" t="n">
        <v>5</v>
      </c>
      <c r="P32" s="19" t="n">
        <v>3</v>
      </c>
      <c r="Q32" s="18" t="n">
        <v>5</v>
      </c>
      <c r="R32" s="24" t="n">
        <v>4</v>
      </c>
      <c r="S32" s="24" t="n">
        <v>4</v>
      </c>
      <c r="T32" s="23" t="n">
        <v>3</v>
      </c>
      <c r="U32" s="35" t="n">
        <v>5</v>
      </c>
      <c r="V32" s="35" t="n">
        <v>5</v>
      </c>
      <c r="W32" s="20" t="n">
        <v>4</v>
      </c>
      <c r="X32" s="19" t="n">
        <v>3</v>
      </c>
      <c r="Y32" s="18" t="n">
        <v>5</v>
      </c>
      <c r="Z32" s="18" t="n">
        <v>5</v>
      </c>
      <c r="AA32" s="26" t="n">
        <f aca="false">ROUND(AVERAGE(D32:M32)*0.25+AVERAGE(N32:Q32)*0.2+AVERAGE(R32:V32)*0.3+AVERAGE(W32:Z32)*0.25,1)</f>
        <v>4.1</v>
      </c>
      <c r="AB32" s="27" t="s">
        <v>368</v>
      </c>
      <c r="AC32" s="28" t="s">
        <v>369</v>
      </c>
      <c r="AD32" s="28" t="s">
        <v>370</v>
      </c>
      <c r="AE32" s="28" t="s">
        <v>371</v>
      </c>
      <c r="AF32" s="28" t="s">
        <v>372</v>
      </c>
      <c r="AG32" s="28" t="s">
        <v>373</v>
      </c>
      <c r="AH32" s="28" t="s">
        <v>374</v>
      </c>
      <c r="AI32" s="28" t="s">
        <v>71</v>
      </c>
      <c r="AJ32" s="28" t="s">
        <v>158</v>
      </c>
      <c r="AK32" s="28" t="s">
        <v>155</v>
      </c>
      <c r="AL32" s="28" t="s">
        <v>187</v>
      </c>
      <c r="AM32" s="28" t="s">
        <v>61</v>
      </c>
    </row>
    <row r="33" customFormat="false" ht="42" hidden="false" customHeight="true" outlineLevel="0" collapsed="false">
      <c r="A33" s="29" t="s">
        <v>375</v>
      </c>
      <c r="B33" s="29" t="s">
        <v>376</v>
      </c>
      <c r="C33" s="29" t="s">
        <v>377</v>
      </c>
      <c r="D33" s="21" t="n">
        <v>2</v>
      </c>
      <c r="E33" s="21" t="n">
        <v>2</v>
      </c>
      <c r="F33" s="21" t="n">
        <v>2</v>
      </c>
      <c r="G33" s="21" t="n">
        <v>2</v>
      </c>
      <c r="H33" s="21" t="n">
        <v>2</v>
      </c>
      <c r="I33" s="33" t="n">
        <v>1</v>
      </c>
      <c r="J33" s="21" t="n">
        <v>2</v>
      </c>
      <c r="K33" s="21" t="n">
        <v>2</v>
      </c>
      <c r="L33" s="21" t="n">
        <v>2</v>
      </c>
      <c r="M33" s="30"/>
      <c r="N33" s="21" t="n">
        <v>2</v>
      </c>
      <c r="O33" s="21" t="n">
        <v>2</v>
      </c>
      <c r="P33" s="21" t="n">
        <v>2</v>
      </c>
      <c r="Q33" s="21" t="n">
        <v>2</v>
      </c>
      <c r="R33" s="34" t="n">
        <v>1</v>
      </c>
      <c r="S33" s="25" t="n">
        <v>2</v>
      </c>
      <c r="T33" s="34" t="n">
        <v>1</v>
      </c>
      <c r="U33" s="34" t="n">
        <v>1</v>
      </c>
      <c r="V33" s="34" t="n">
        <v>1</v>
      </c>
      <c r="W33" s="19" t="n">
        <v>3</v>
      </c>
      <c r="X33" s="19" t="n">
        <v>3</v>
      </c>
      <c r="Y33" s="19" t="n">
        <v>3</v>
      </c>
      <c r="Z33" s="19" t="n">
        <v>3</v>
      </c>
      <c r="AA33" s="26" t="n">
        <f aca="false">ROUND(AVERAGE(D33:M33)*0.25+AVERAGE(N33:Q33)*0.2+AVERAGE(R33:V33)*0.3+AVERAGE(W33:Z33)*0.25,1)</f>
        <v>2</v>
      </c>
      <c r="AB33" s="31" t="s">
        <v>378</v>
      </c>
      <c r="AC33" s="32" t="s">
        <v>379</v>
      </c>
      <c r="AD33" s="32" t="s">
        <v>380</v>
      </c>
      <c r="AE33" s="32" t="s">
        <v>381</v>
      </c>
      <c r="AF33" s="32" t="s">
        <v>382</v>
      </c>
      <c r="AG33" s="32" t="s">
        <v>383</v>
      </c>
      <c r="AH33" s="32" t="s">
        <v>384</v>
      </c>
      <c r="AI33" s="32" t="s">
        <v>60</v>
      </c>
      <c r="AJ33" s="32" t="s">
        <v>385</v>
      </c>
      <c r="AK33" s="32" t="s">
        <v>386</v>
      </c>
      <c r="AL33" s="32" t="s">
        <v>387</v>
      </c>
      <c r="AM33" s="32" t="s">
        <v>61</v>
      </c>
    </row>
    <row r="34" customFormat="false" ht="42" hidden="false" customHeight="true" outlineLevel="0" collapsed="false">
      <c r="A34" s="17" t="s">
        <v>388</v>
      </c>
      <c r="B34" s="17" t="s">
        <v>389</v>
      </c>
      <c r="C34" s="17" t="s">
        <v>390</v>
      </c>
      <c r="D34" s="19" t="n">
        <v>3</v>
      </c>
      <c r="E34" s="19" t="n">
        <v>3</v>
      </c>
      <c r="F34" s="21" t="n">
        <v>2</v>
      </c>
      <c r="G34" s="19" t="n">
        <v>3</v>
      </c>
      <c r="H34" s="20" t="n">
        <v>4</v>
      </c>
      <c r="I34" s="33" t="n">
        <v>1</v>
      </c>
      <c r="J34" s="20" t="n">
        <v>4</v>
      </c>
      <c r="K34" s="19" t="n">
        <v>3</v>
      </c>
      <c r="L34" s="20" t="n">
        <v>4</v>
      </c>
      <c r="M34" s="22"/>
      <c r="N34" s="19" t="n">
        <v>3</v>
      </c>
      <c r="O34" s="20" t="n">
        <v>4</v>
      </c>
      <c r="P34" s="20" t="n">
        <v>4</v>
      </c>
      <c r="Q34" s="19" t="n">
        <v>3</v>
      </c>
      <c r="R34" s="34" t="n">
        <v>1</v>
      </c>
      <c r="S34" s="25" t="n">
        <v>2</v>
      </c>
      <c r="T34" s="34" t="n">
        <v>1</v>
      </c>
      <c r="U34" s="34" t="n">
        <v>1</v>
      </c>
      <c r="V34" s="34" t="n">
        <v>1</v>
      </c>
      <c r="W34" s="20" t="n">
        <v>4</v>
      </c>
      <c r="X34" s="20" t="n">
        <v>4</v>
      </c>
      <c r="Y34" s="19" t="n">
        <v>3</v>
      </c>
      <c r="Z34" s="20" t="n">
        <v>4</v>
      </c>
      <c r="AA34" s="26" t="n">
        <f aca="false">ROUND(AVERAGE(D34:M34)*0.25+AVERAGE(N34:Q34)*0.2+AVERAGE(R34:V34)*0.3+AVERAGE(W34:Z34)*0.25,1)</f>
        <v>2.7</v>
      </c>
      <c r="AB34" s="27" t="s">
        <v>391</v>
      </c>
      <c r="AC34" s="28" t="s">
        <v>392</v>
      </c>
      <c r="AD34" s="28" t="s">
        <v>393</v>
      </c>
      <c r="AE34" s="28" t="s">
        <v>394</v>
      </c>
      <c r="AF34" s="28" t="s">
        <v>395</v>
      </c>
      <c r="AG34" s="28" t="s">
        <v>396</v>
      </c>
      <c r="AH34" s="28" t="s">
        <v>397</v>
      </c>
      <c r="AI34" s="28" t="s">
        <v>60</v>
      </c>
      <c r="AJ34" s="28" t="s">
        <v>398</v>
      </c>
      <c r="AK34" s="28" t="s">
        <v>399</v>
      </c>
      <c r="AL34" s="28" t="s">
        <v>74</v>
      </c>
      <c r="AM34" s="28" t="s">
        <v>61</v>
      </c>
    </row>
    <row r="35" customFormat="false" ht="42" hidden="false" customHeight="true" outlineLevel="0" collapsed="false">
      <c r="A35" s="29" t="s">
        <v>400</v>
      </c>
      <c r="B35" s="29" t="s">
        <v>401</v>
      </c>
      <c r="C35" s="29" t="s">
        <v>402</v>
      </c>
      <c r="D35" s="20" t="n">
        <v>4</v>
      </c>
      <c r="E35" s="20" t="n">
        <v>4</v>
      </c>
      <c r="F35" s="21" t="n">
        <v>2</v>
      </c>
      <c r="G35" s="20" t="n">
        <v>4</v>
      </c>
      <c r="H35" s="18" t="n">
        <v>5</v>
      </c>
      <c r="I35" s="33" t="n">
        <v>1</v>
      </c>
      <c r="J35" s="20" t="n">
        <v>4</v>
      </c>
      <c r="K35" s="19" t="n">
        <v>3</v>
      </c>
      <c r="L35" s="20" t="n">
        <v>4</v>
      </c>
      <c r="M35" s="30"/>
      <c r="N35" s="20" t="n">
        <v>4</v>
      </c>
      <c r="O35" s="20" t="n">
        <v>4</v>
      </c>
      <c r="P35" s="20" t="n">
        <v>4</v>
      </c>
      <c r="Q35" s="20" t="n">
        <v>4</v>
      </c>
      <c r="R35" s="25" t="n">
        <v>2</v>
      </c>
      <c r="S35" s="23" t="n">
        <v>3</v>
      </c>
      <c r="T35" s="25" t="n">
        <v>2</v>
      </c>
      <c r="U35" s="25" t="n">
        <v>2</v>
      </c>
      <c r="V35" s="25" t="n">
        <v>2</v>
      </c>
      <c r="W35" s="20" t="n">
        <v>4</v>
      </c>
      <c r="X35" s="20" t="n">
        <v>4</v>
      </c>
      <c r="Y35" s="19" t="n">
        <v>3</v>
      </c>
      <c r="Z35" s="20" t="n">
        <v>4</v>
      </c>
      <c r="AA35" s="26" t="n">
        <f aca="false">ROUND(AVERAGE(D35:M35)*0.25+AVERAGE(N35:Q35)*0.2+AVERAGE(R35:V35)*0.3+AVERAGE(W35:Z35)*0.25,1)</f>
        <v>3.3</v>
      </c>
      <c r="AB35" s="31" t="s">
        <v>403</v>
      </c>
      <c r="AC35" s="32" t="s">
        <v>404</v>
      </c>
      <c r="AD35" s="32" t="s">
        <v>405</v>
      </c>
      <c r="AE35" s="32" t="s">
        <v>406</v>
      </c>
      <c r="AF35" s="32" t="s">
        <v>407</v>
      </c>
      <c r="AG35" s="32" t="s">
        <v>408</v>
      </c>
      <c r="AH35" s="32" t="s">
        <v>409</v>
      </c>
      <c r="AI35" s="32" t="s">
        <v>60</v>
      </c>
      <c r="AJ35" s="32" t="s">
        <v>410</v>
      </c>
      <c r="AK35" s="32" t="s">
        <v>411</v>
      </c>
      <c r="AL35" s="32" t="s">
        <v>71</v>
      </c>
      <c r="AM35" s="32" t="s">
        <v>61</v>
      </c>
    </row>
    <row r="36" customFormat="false" ht="42" hidden="false" customHeight="true" outlineLevel="0" collapsed="false">
      <c r="A36" s="17" t="s">
        <v>412</v>
      </c>
      <c r="B36" s="17" t="s">
        <v>413</v>
      </c>
      <c r="C36" s="17" t="s">
        <v>414</v>
      </c>
      <c r="D36" s="19" t="n">
        <v>3</v>
      </c>
      <c r="E36" s="21" t="n">
        <v>2</v>
      </c>
      <c r="F36" s="19" t="n">
        <v>3</v>
      </c>
      <c r="G36" s="20" t="n">
        <v>4</v>
      </c>
      <c r="H36" s="18" t="n">
        <v>5</v>
      </c>
      <c r="I36" s="21" t="n">
        <v>2</v>
      </c>
      <c r="J36" s="19" t="n">
        <v>3</v>
      </c>
      <c r="K36" s="20" t="n">
        <v>4</v>
      </c>
      <c r="L36" s="20" t="n">
        <v>4</v>
      </c>
      <c r="M36" s="22"/>
      <c r="N36" s="19" t="n">
        <v>3</v>
      </c>
      <c r="O36" s="19" t="n">
        <v>3</v>
      </c>
      <c r="P36" s="20" t="n">
        <v>4</v>
      </c>
      <c r="Q36" s="20" t="n">
        <v>4</v>
      </c>
      <c r="R36" s="25" t="n">
        <v>2</v>
      </c>
      <c r="S36" s="25" t="n">
        <v>2</v>
      </c>
      <c r="T36" s="25" t="n">
        <v>2</v>
      </c>
      <c r="U36" s="23" t="n">
        <v>3</v>
      </c>
      <c r="V36" s="25" t="n">
        <v>2</v>
      </c>
      <c r="W36" s="20" t="n">
        <v>4</v>
      </c>
      <c r="X36" s="20" t="n">
        <v>4</v>
      </c>
      <c r="Y36" s="20" t="n">
        <v>4</v>
      </c>
      <c r="Z36" s="19" t="n">
        <v>3</v>
      </c>
      <c r="AA36" s="26" t="n">
        <f aca="false">ROUND(AVERAGE(D36:M36)*0.25+AVERAGE(N36:Q36)*0.2+AVERAGE(R36:V36)*0.3+AVERAGE(W36:Z36)*0.25,1)</f>
        <v>3.1</v>
      </c>
      <c r="AB36" s="27" t="s">
        <v>415</v>
      </c>
      <c r="AC36" s="28" t="s">
        <v>416</v>
      </c>
      <c r="AD36" s="28" t="s">
        <v>417</v>
      </c>
      <c r="AE36" s="28" t="s">
        <v>418</v>
      </c>
      <c r="AF36" s="28" t="s">
        <v>419</v>
      </c>
      <c r="AG36" s="28" t="s">
        <v>420</v>
      </c>
      <c r="AH36" s="28" t="s">
        <v>421</v>
      </c>
      <c r="AI36" s="28" t="s">
        <v>60</v>
      </c>
      <c r="AJ36" s="28" t="s">
        <v>422</v>
      </c>
      <c r="AK36" s="28" t="s">
        <v>423</v>
      </c>
      <c r="AL36" s="28" t="s">
        <v>74</v>
      </c>
      <c r="AM36" s="28" t="s">
        <v>61</v>
      </c>
    </row>
    <row r="37" customFormat="false" ht="42" hidden="false" customHeight="true" outlineLevel="0" collapsed="false">
      <c r="A37" s="29" t="s">
        <v>424</v>
      </c>
      <c r="B37" s="29" t="s">
        <v>76</v>
      </c>
      <c r="C37" s="29" t="s">
        <v>425</v>
      </c>
      <c r="D37" s="20" t="n">
        <v>4</v>
      </c>
      <c r="E37" s="18" t="n">
        <v>5</v>
      </c>
      <c r="F37" s="20" t="n">
        <v>4</v>
      </c>
      <c r="G37" s="19" t="n">
        <v>3</v>
      </c>
      <c r="H37" s="33" t="n">
        <v>1</v>
      </c>
      <c r="I37" s="21" t="n">
        <v>2</v>
      </c>
      <c r="J37" s="18" t="n">
        <v>5</v>
      </c>
      <c r="K37" s="20" t="n">
        <v>4</v>
      </c>
      <c r="L37" s="18" t="n">
        <v>5</v>
      </c>
      <c r="M37" s="30"/>
      <c r="N37" s="20" t="n">
        <v>4</v>
      </c>
      <c r="O37" s="20" t="n">
        <v>4</v>
      </c>
      <c r="P37" s="18" t="n">
        <v>5</v>
      </c>
      <c r="Q37" s="20" t="n">
        <v>4</v>
      </c>
      <c r="R37" s="24" t="n">
        <v>4</v>
      </c>
      <c r="S37" s="24" t="n">
        <v>4</v>
      </c>
      <c r="T37" s="23" t="n">
        <v>3</v>
      </c>
      <c r="U37" s="25" t="n">
        <v>2</v>
      </c>
      <c r="V37" s="23" t="n">
        <v>3</v>
      </c>
      <c r="W37" s="18" t="n">
        <v>5</v>
      </c>
      <c r="X37" s="20" t="n">
        <v>4</v>
      </c>
      <c r="Y37" s="18" t="n">
        <v>5</v>
      </c>
      <c r="Z37" s="20" t="n">
        <v>4</v>
      </c>
      <c r="AA37" s="26" t="n">
        <f aca="false">ROUND(AVERAGE(D37:M37)*0.25+AVERAGE(N37:Q37)*0.2+AVERAGE(R37:V37)*0.3+AVERAGE(W37:Z37)*0.25,1)</f>
        <v>3.9</v>
      </c>
      <c r="AB37" s="31" t="s">
        <v>426</v>
      </c>
      <c r="AC37" s="32" t="s">
        <v>427</v>
      </c>
      <c r="AD37" s="32" t="s">
        <v>428</v>
      </c>
      <c r="AE37" s="32" t="s">
        <v>429</v>
      </c>
      <c r="AF37" s="32" t="s">
        <v>430</v>
      </c>
      <c r="AG37" s="32" t="s">
        <v>431</v>
      </c>
      <c r="AH37" s="32" t="s">
        <v>432</v>
      </c>
      <c r="AI37" s="32" t="s">
        <v>71</v>
      </c>
      <c r="AJ37" s="32" t="s">
        <v>433</v>
      </c>
      <c r="AK37" s="32" t="s">
        <v>434</v>
      </c>
      <c r="AL37" s="32" t="s">
        <v>71</v>
      </c>
      <c r="AM37" s="32" t="s">
        <v>61</v>
      </c>
    </row>
    <row r="38" customFormat="false" ht="42" hidden="false" customHeight="true" outlineLevel="0" collapsed="false">
      <c r="A38" s="17" t="s">
        <v>435</v>
      </c>
      <c r="B38" s="17" t="s">
        <v>436</v>
      </c>
      <c r="C38" s="17" t="s">
        <v>437</v>
      </c>
      <c r="D38" s="21" t="n">
        <v>2</v>
      </c>
      <c r="E38" s="33" t="n">
        <v>1</v>
      </c>
      <c r="F38" s="18" t="n">
        <v>5</v>
      </c>
      <c r="G38" s="18" t="n">
        <v>5</v>
      </c>
      <c r="H38" s="33" t="n">
        <v>1</v>
      </c>
      <c r="I38" s="21" t="n">
        <v>2</v>
      </c>
      <c r="J38" s="19" t="n">
        <v>3</v>
      </c>
      <c r="K38" s="18" t="n">
        <v>5</v>
      </c>
      <c r="L38" s="20" t="n">
        <v>4</v>
      </c>
      <c r="M38" s="22"/>
      <c r="N38" s="20" t="n">
        <v>4</v>
      </c>
      <c r="O38" s="20" t="n">
        <v>4</v>
      </c>
      <c r="P38" s="19" t="n">
        <v>3</v>
      </c>
      <c r="Q38" s="18" t="n">
        <v>5</v>
      </c>
      <c r="R38" s="25" t="n">
        <v>2</v>
      </c>
      <c r="S38" s="25" t="n">
        <v>2</v>
      </c>
      <c r="T38" s="23" t="n">
        <v>3</v>
      </c>
      <c r="U38" s="25" t="n">
        <v>2</v>
      </c>
      <c r="V38" s="24" t="n">
        <v>4</v>
      </c>
      <c r="W38" s="20" t="n">
        <v>4</v>
      </c>
      <c r="X38" s="19" t="n">
        <v>3</v>
      </c>
      <c r="Y38" s="18" t="n">
        <v>5</v>
      </c>
      <c r="Z38" s="20" t="n">
        <v>4</v>
      </c>
      <c r="AA38" s="26" t="n">
        <f aca="false">ROUND(AVERAGE(D38:M38)*0.25+AVERAGE(N38:Q38)*0.2+AVERAGE(R38:V38)*0.3+AVERAGE(W38:Z38)*0.25,1)</f>
        <v>3.4</v>
      </c>
      <c r="AB38" s="27" t="s">
        <v>438</v>
      </c>
      <c r="AC38" s="28" t="s">
        <v>439</v>
      </c>
      <c r="AD38" s="28" t="s">
        <v>440</v>
      </c>
      <c r="AE38" s="28" t="s">
        <v>441</v>
      </c>
      <c r="AF38" s="28" t="s">
        <v>442</v>
      </c>
      <c r="AG38" s="28" t="s">
        <v>443</v>
      </c>
      <c r="AH38" s="28" t="s">
        <v>444</v>
      </c>
      <c r="AI38" s="28" t="s">
        <v>71</v>
      </c>
      <c r="AJ38" s="28" t="s">
        <v>436</v>
      </c>
      <c r="AK38" s="28" t="s">
        <v>167</v>
      </c>
      <c r="AL38" s="28" t="s">
        <v>71</v>
      </c>
      <c r="AM38" s="28" t="s">
        <v>61</v>
      </c>
    </row>
    <row r="39" customFormat="false" ht="42" hidden="false" customHeight="true" outlineLevel="0" collapsed="false">
      <c r="A39" s="29" t="s">
        <v>445</v>
      </c>
      <c r="B39" s="29" t="s">
        <v>446</v>
      </c>
      <c r="C39" s="29" t="s">
        <v>447</v>
      </c>
      <c r="D39" s="18" t="n">
        <v>5</v>
      </c>
      <c r="E39" s="19" t="n">
        <v>3</v>
      </c>
      <c r="F39" s="19" t="n">
        <v>3</v>
      </c>
      <c r="G39" s="19" t="n">
        <v>3</v>
      </c>
      <c r="H39" s="20" t="n">
        <v>4</v>
      </c>
      <c r="I39" s="19" t="n">
        <v>3</v>
      </c>
      <c r="J39" s="20" t="n">
        <v>4</v>
      </c>
      <c r="K39" s="20" t="n">
        <v>4</v>
      </c>
      <c r="L39" s="18" t="n">
        <v>5</v>
      </c>
      <c r="M39" s="30"/>
      <c r="N39" s="20" t="n">
        <v>4</v>
      </c>
      <c r="O39" s="19" t="n">
        <v>3</v>
      </c>
      <c r="P39" s="20" t="n">
        <v>4</v>
      </c>
      <c r="Q39" s="20" t="n">
        <v>4</v>
      </c>
      <c r="R39" s="24" t="n">
        <v>4</v>
      </c>
      <c r="S39" s="35" t="n">
        <v>5</v>
      </c>
      <c r="T39" s="23" t="n">
        <v>3</v>
      </c>
      <c r="U39" s="25" t="n">
        <v>2</v>
      </c>
      <c r="V39" s="25" t="n">
        <v>2</v>
      </c>
      <c r="W39" s="20" t="n">
        <v>4</v>
      </c>
      <c r="X39" s="20" t="n">
        <v>4</v>
      </c>
      <c r="Y39" s="20" t="n">
        <v>4</v>
      </c>
      <c r="Z39" s="20" t="n">
        <v>4</v>
      </c>
      <c r="AA39" s="26" t="n">
        <f aca="false">ROUND(AVERAGE(D39:M39)*0.25+AVERAGE(N39:Q39)*0.2+AVERAGE(R39:V39)*0.3+AVERAGE(W39:Z39)*0.25,1)</f>
        <v>3.7</v>
      </c>
      <c r="AB39" s="31" t="s">
        <v>448</v>
      </c>
      <c r="AC39" s="32" t="s">
        <v>449</v>
      </c>
      <c r="AD39" s="32" t="s">
        <v>450</v>
      </c>
      <c r="AE39" s="32" t="s">
        <v>451</v>
      </c>
      <c r="AF39" s="32" t="s">
        <v>452</v>
      </c>
      <c r="AG39" s="32" t="s">
        <v>453</v>
      </c>
      <c r="AH39" s="32" t="s">
        <v>454</v>
      </c>
      <c r="AI39" s="32" t="s">
        <v>71</v>
      </c>
      <c r="AJ39" s="32" t="s">
        <v>455</v>
      </c>
      <c r="AK39" s="32" t="s">
        <v>456</v>
      </c>
      <c r="AL39" s="32" t="s">
        <v>71</v>
      </c>
      <c r="AM39" s="32" t="s">
        <v>61</v>
      </c>
    </row>
    <row r="40" customFormat="false" ht="42" hidden="false" customHeight="true" outlineLevel="0" collapsed="false">
      <c r="A40" s="17" t="s">
        <v>457</v>
      </c>
      <c r="B40" s="17" t="s">
        <v>310</v>
      </c>
      <c r="C40" s="17" t="s">
        <v>458</v>
      </c>
      <c r="D40" s="33" t="n">
        <v>1</v>
      </c>
      <c r="E40" s="21" t="n">
        <v>2</v>
      </c>
      <c r="F40" s="19" t="n">
        <v>3</v>
      </c>
      <c r="G40" s="19" t="n">
        <v>3</v>
      </c>
      <c r="H40" s="33" t="n">
        <v>1</v>
      </c>
      <c r="I40" s="33" t="n">
        <v>1</v>
      </c>
      <c r="J40" s="21" t="n">
        <v>2</v>
      </c>
      <c r="K40" s="21" t="n">
        <v>2</v>
      </c>
      <c r="L40" s="21" t="n">
        <v>2</v>
      </c>
      <c r="M40" s="22"/>
      <c r="N40" s="21" t="n">
        <v>2</v>
      </c>
      <c r="O40" s="19" t="n">
        <v>3</v>
      </c>
      <c r="P40" s="21" t="n">
        <v>2</v>
      </c>
      <c r="Q40" s="19" t="n">
        <v>3</v>
      </c>
      <c r="R40" s="24" t="n">
        <v>4</v>
      </c>
      <c r="S40" s="35" t="n">
        <v>5</v>
      </c>
      <c r="T40" s="24" t="n">
        <v>4</v>
      </c>
      <c r="U40" s="25" t="n">
        <v>2</v>
      </c>
      <c r="V40" s="23" t="n">
        <v>3</v>
      </c>
      <c r="W40" s="20" t="n">
        <v>4</v>
      </c>
      <c r="X40" s="20" t="n">
        <v>4</v>
      </c>
      <c r="Y40" s="18" t="n">
        <v>5</v>
      </c>
      <c r="Z40" s="20" t="n">
        <v>4</v>
      </c>
      <c r="AA40" s="26" t="n">
        <f aca="false">ROUND(AVERAGE(D40:M40)*0.25+AVERAGE(N40:Q40)*0.2+AVERAGE(R40:V40)*0.3+AVERAGE(W40:Z40)*0.25,1)</f>
        <v>3.1</v>
      </c>
      <c r="AB40" s="27" t="s">
        <v>459</v>
      </c>
      <c r="AC40" s="28" t="s">
        <v>460</v>
      </c>
      <c r="AD40" s="28" t="s">
        <v>461</v>
      </c>
      <c r="AE40" s="28" t="s">
        <v>462</v>
      </c>
      <c r="AF40" s="28" t="s">
        <v>463</v>
      </c>
      <c r="AG40" s="28" t="s">
        <v>464</v>
      </c>
      <c r="AH40" s="28" t="s">
        <v>465</v>
      </c>
      <c r="AI40" s="28" t="s">
        <v>74</v>
      </c>
      <c r="AJ40" s="28" t="s">
        <v>319</v>
      </c>
      <c r="AK40" s="28" t="s">
        <v>466</v>
      </c>
      <c r="AL40" s="28" t="s">
        <v>467</v>
      </c>
      <c r="AM40" s="28" t="s">
        <v>61</v>
      </c>
    </row>
    <row r="41" customFormat="false" ht="42" hidden="false" customHeight="true" outlineLevel="0" collapsed="false">
      <c r="A41" s="29" t="s">
        <v>468</v>
      </c>
      <c r="B41" s="29" t="s">
        <v>469</v>
      </c>
      <c r="C41" s="29" t="s">
        <v>470</v>
      </c>
      <c r="D41" s="19" t="n">
        <v>3</v>
      </c>
      <c r="E41" s="21" t="n">
        <v>2</v>
      </c>
      <c r="F41" s="21" t="n">
        <v>2</v>
      </c>
      <c r="G41" s="21" t="n">
        <v>2</v>
      </c>
      <c r="H41" s="19" t="n">
        <v>3</v>
      </c>
      <c r="I41" s="33" t="n">
        <v>1</v>
      </c>
      <c r="J41" s="19" t="n">
        <v>3</v>
      </c>
      <c r="K41" s="21" t="n">
        <v>2</v>
      </c>
      <c r="L41" s="19" t="n">
        <v>3</v>
      </c>
      <c r="M41" s="30"/>
      <c r="N41" s="21" t="n">
        <v>2</v>
      </c>
      <c r="O41" s="21" t="n">
        <v>2</v>
      </c>
      <c r="P41" s="19" t="n">
        <v>3</v>
      </c>
      <c r="Q41" s="21" t="n">
        <v>2</v>
      </c>
      <c r="R41" s="34" t="n">
        <v>1</v>
      </c>
      <c r="S41" s="25" t="n">
        <v>2</v>
      </c>
      <c r="T41" s="34" t="n">
        <v>1</v>
      </c>
      <c r="U41" s="34" t="n">
        <v>1</v>
      </c>
      <c r="V41" s="25" t="n">
        <v>2</v>
      </c>
      <c r="W41" s="19" t="n">
        <v>3</v>
      </c>
      <c r="X41" s="19" t="n">
        <v>3</v>
      </c>
      <c r="Y41" s="19" t="n">
        <v>3</v>
      </c>
      <c r="Z41" s="19" t="n">
        <v>3</v>
      </c>
      <c r="AA41" s="26" t="n">
        <f aca="false">ROUND(AVERAGE(D41:M41)*0.25+AVERAGE(N41:Q41)*0.2+AVERAGE(R41:V41)*0.3+AVERAGE(W41:Z41)*0.25,1)</f>
        <v>2.2</v>
      </c>
      <c r="AB41" s="31" t="s">
        <v>471</v>
      </c>
      <c r="AC41" s="32" t="s">
        <v>472</v>
      </c>
      <c r="AD41" s="32" t="s">
        <v>473</v>
      </c>
      <c r="AE41" s="32" t="s">
        <v>474</v>
      </c>
      <c r="AF41" s="32" t="s">
        <v>475</v>
      </c>
      <c r="AG41" s="32" t="s">
        <v>476</v>
      </c>
      <c r="AH41" s="32" t="s">
        <v>477</v>
      </c>
      <c r="AI41" s="32" t="s">
        <v>60</v>
      </c>
      <c r="AJ41" s="32" t="s">
        <v>385</v>
      </c>
      <c r="AK41" s="32" t="s">
        <v>478</v>
      </c>
      <c r="AL41" s="32" t="s">
        <v>74</v>
      </c>
      <c r="AM41" s="32" t="s">
        <v>61</v>
      </c>
    </row>
    <row r="42" customFormat="false" ht="42" hidden="false" customHeight="true" outlineLevel="0" collapsed="false">
      <c r="A42" s="17" t="s">
        <v>479</v>
      </c>
      <c r="B42" s="17" t="s">
        <v>267</v>
      </c>
      <c r="C42" s="17" t="s">
        <v>480</v>
      </c>
      <c r="D42" s="19" t="n">
        <v>3</v>
      </c>
      <c r="E42" s="19" t="n">
        <v>3</v>
      </c>
      <c r="F42" s="20" t="n">
        <v>4</v>
      </c>
      <c r="G42" s="20" t="n">
        <v>4</v>
      </c>
      <c r="H42" s="33" t="n">
        <v>1</v>
      </c>
      <c r="I42" s="21" t="n">
        <v>2</v>
      </c>
      <c r="J42" s="20" t="n">
        <v>4</v>
      </c>
      <c r="K42" s="20" t="n">
        <v>4</v>
      </c>
      <c r="L42" s="20" t="n">
        <v>4</v>
      </c>
      <c r="M42" s="22"/>
      <c r="N42" s="19" t="n">
        <v>3</v>
      </c>
      <c r="O42" s="20" t="n">
        <v>4</v>
      </c>
      <c r="P42" s="20" t="n">
        <v>4</v>
      </c>
      <c r="Q42" s="20" t="n">
        <v>4</v>
      </c>
      <c r="R42" s="25" t="n">
        <v>2</v>
      </c>
      <c r="S42" s="23" t="n">
        <v>3</v>
      </c>
      <c r="T42" s="25" t="n">
        <v>2</v>
      </c>
      <c r="U42" s="25" t="n">
        <v>2</v>
      </c>
      <c r="V42" s="23" t="n">
        <v>3</v>
      </c>
      <c r="W42" s="20" t="n">
        <v>4</v>
      </c>
      <c r="X42" s="20" t="n">
        <v>4</v>
      </c>
      <c r="Y42" s="20" t="n">
        <v>4</v>
      </c>
      <c r="Z42" s="20" t="n">
        <v>4</v>
      </c>
      <c r="AA42" s="26" t="n">
        <f aca="false">ROUND(AVERAGE(D42:M42)*0.25+AVERAGE(N42:Q42)*0.2+AVERAGE(R42:V42)*0.3+AVERAGE(W42:Z42)*0.25,1)</f>
        <v>3.3</v>
      </c>
      <c r="AB42" s="27" t="s">
        <v>481</v>
      </c>
      <c r="AC42" s="28" t="s">
        <v>482</v>
      </c>
      <c r="AD42" s="28" t="s">
        <v>483</v>
      </c>
      <c r="AE42" s="28" t="s">
        <v>484</v>
      </c>
      <c r="AF42" s="28" t="s">
        <v>485</v>
      </c>
      <c r="AG42" s="28" t="s">
        <v>486</v>
      </c>
      <c r="AH42" s="28" t="s">
        <v>487</v>
      </c>
      <c r="AI42" s="28" t="s">
        <v>60</v>
      </c>
      <c r="AJ42" s="28" t="s">
        <v>488</v>
      </c>
      <c r="AK42" s="28" t="s">
        <v>489</v>
      </c>
      <c r="AL42" s="28" t="s">
        <v>74</v>
      </c>
      <c r="AM42" s="28" t="s">
        <v>61</v>
      </c>
    </row>
    <row r="43" customFormat="false" ht="42" hidden="false" customHeight="true" outlineLevel="0" collapsed="false">
      <c r="A43" s="29" t="s">
        <v>490</v>
      </c>
      <c r="B43" s="29" t="s">
        <v>491</v>
      </c>
      <c r="C43" s="29" t="s">
        <v>492</v>
      </c>
      <c r="D43" s="21" t="n">
        <v>2</v>
      </c>
      <c r="E43" s="33" t="n">
        <v>1</v>
      </c>
      <c r="F43" s="21" t="n">
        <v>2</v>
      </c>
      <c r="G43" s="19" t="n">
        <v>3</v>
      </c>
      <c r="H43" s="33" t="n">
        <v>1</v>
      </c>
      <c r="I43" s="33" t="n">
        <v>1</v>
      </c>
      <c r="J43" s="21" t="n">
        <v>2</v>
      </c>
      <c r="K43" s="19" t="n">
        <v>3</v>
      </c>
      <c r="L43" s="19" t="n">
        <v>3</v>
      </c>
      <c r="M43" s="30"/>
      <c r="N43" s="21" t="n">
        <v>2</v>
      </c>
      <c r="O43" s="21" t="n">
        <v>2</v>
      </c>
      <c r="P43" s="21" t="n">
        <v>2</v>
      </c>
      <c r="Q43" s="19" t="n">
        <v>3</v>
      </c>
      <c r="R43" s="34" t="n">
        <v>1</v>
      </c>
      <c r="S43" s="25" t="n">
        <v>2</v>
      </c>
      <c r="T43" s="34" t="n">
        <v>1</v>
      </c>
      <c r="U43" s="34" t="n">
        <v>1</v>
      </c>
      <c r="V43" s="23" t="n">
        <v>3</v>
      </c>
      <c r="W43" s="19" t="n">
        <v>3</v>
      </c>
      <c r="X43" s="19" t="n">
        <v>3</v>
      </c>
      <c r="Y43" s="19" t="n">
        <v>3</v>
      </c>
      <c r="Z43" s="19" t="n">
        <v>3</v>
      </c>
      <c r="AA43" s="26" t="n">
        <f aca="false">ROUND(AVERAGE(D43:M43)*0.25+AVERAGE(N43:Q43)*0.2+AVERAGE(R43:V43)*0.3+AVERAGE(W43:Z43)*0.25,1)</f>
        <v>2.2</v>
      </c>
      <c r="AB43" s="31" t="s">
        <v>493</v>
      </c>
      <c r="AC43" s="32" t="s">
        <v>494</v>
      </c>
      <c r="AD43" s="32" t="s">
        <v>495</v>
      </c>
      <c r="AE43" s="32" t="s">
        <v>496</v>
      </c>
      <c r="AF43" s="32" t="s">
        <v>497</v>
      </c>
      <c r="AG43" s="32" t="s">
        <v>498</v>
      </c>
      <c r="AH43" s="32" t="s">
        <v>499</v>
      </c>
      <c r="AI43" s="32" t="s">
        <v>71</v>
      </c>
      <c r="AJ43" s="32" t="s">
        <v>500</v>
      </c>
      <c r="AK43" s="32" t="s">
        <v>501</v>
      </c>
      <c r="AL43" s="32" t="s">
        <v>502</v>
      </c>
      <c r="AM43" s="32" t="s">
        <v>61</v>
      </c>
    </row>
    <row r="44" customFormat="false" ht="37.5" hidden="false" customHeight="true" outlineLevel="0" collapsed="false">
      <c r="A44" s="17" t="s">
        <v>503</v>
      </c>
      <c r="B44" s="17" t="s">
        <v>158</v>
      </c>
      <c r="C44" s="17" t="s">
        <v>504</v>
      </c>
      <c r="D44" s="34" t="n">
        <v>1</v>
      </c>
      <c r="E44" s="34" t="n">
        <v>1</v>
      </c>
      <c r="F44" s="35" t="n">
        <v>5</v>
      </c>
      <c r="G44" s="35" t="n">
        <v>5</v>
      </c>
      <c r="H44" s="34" t="n">
        <v>1</v>
      </c>
      <c r="I44" s="34" t="n">
        <v>1</v>
      </c>
      <c r="J44" s="24" t="n">
        <v>4</v>
      </c>
      <c r="K44" s="35" t="n">
        <v>5</v>
      </c>
      <c r="L44" s="35" t="n">
        <v>5</v>
      </c>
      <c r="M44" s="35" t="n">
        <v>5</v>
      </c>
      <c r="N44" s="35" t="n">
        <v>5</v>
      </c>
      <c r="O44" s="35" t="n">
        <v>5</v>
      </c>
      <c r="P44" s="23" t="n">
        <v>3</v>
      </c>
      <c r="Q44" s="35" t="n">
        <v>5</v>
      </c>
      <c r="R44" s="35" t="n">
        <v>5</v>
      </c>
      <c r="S44" s="35" t="n">
        <v>5</v>
      </c>
      <c r="T44" s="24" t="n">
        <v>4</v>
      </c>
      <c r="U44" s="35" t="n">
        <v>5</v>
      </c>
      <c r="V44" s="35" t="n">
        <v>5</v>
      </c>
      <c r="W44" s="24" t="n">
        <v>4</v>
      </c>
      <c r="X44" s="23" t="n">
        <v>3</v>
      </c>
      <c r="Y44" s="35" t="n">
        <v>5</v>
      </c>
      <c r="Z44" s="35" t="n">
        <v>5</v>
      </c>
      <c r="AA44" s="26" t="n">
        <f aca="false">ROUND(AVERAGE(D44:M44)*0.25+AVERAGE(N44:Q44)*0.2+AVERAGE(R44:V44)*0.3+AVERAGE(W44:Z44)*0.25,1)</f>
        <v>4.2</v>
      </c>
      <c r="AB44" s="27" t="s">
        <v>505</v>
      </c>
      <c r="AC44" s="28" t="s">
        <v>506</v>
      </c>
      <c r="AD44" s="28" t="s">
        <v>507</v>
      </c>
      <c r="AE44" s="28" t="s">
        <v>508</v>
      </c>
      <c r="AF44" s="28" t="s">
        <v>509</v>
      </c>
      <c r="AG44" s="28" t="s">
        <v>510</v>
      </c>
      <c r="AH44" s="28" t="s">
        <v>511</v>
      </c>
      <c r="AI44" s="28" t="s">
        <v>60</v>
      </c>
      <c r="AJ44" s="28" t="s">
        <v>158</v>
      </c>
      <c r="AK44" s="28" t="s">
        <v>167</v>
      </c>
      <c r="AL44" s="28" t="s">
        <v>60</v>
      </c>
      <c r="AM44" s="28" t="s">
        <v>61</v>
      </c>
    </row>
    <row r="45" customFormat="false" ht="37.5" hidden="false" customHeight="true" outlineLevel="0" collapsed="false">
      <c r="A45" s="29" t="s">
        <v>512</v>
      </c>
      <c r="B45" s="29" t="s">
        <v>513</v>
      </c>
      <c r="C45" s="29" t="s">
        <v>514</v>
      </c>
      <c r="D45" s="34" t="n">
        <v>1</v>
      </c>
      <c r="E45" s="34" t="n">
        <v>1</v>
      </c>
      <c r="F45" s="24" t="n">
        <v>4</v>
      </c>
      <c r="G45" s="35" t="n">
        <v>5</v>
      </c>
      <c r="H45" s="34" t="n">
        <v>1</v>
      </c>
      <c r="I45" s="34" t="n">
        <v>1</v>
      </c>
      <c r="J45" s="23" t="n">
        <v>3</v>
      </c>
      <c r="K45" s="35" t="n">
        <v>5</v>
      </c>
      <c r="L45" s="24" t="n">
        <v>4</v>
      </c>
      <c r="M45" s="35" t="n">
        <v>5</v>
      </c>
      <c r="N45" s="24" t="n">
        <v>4</v>
      </c>
      <c r="O45" s="35" t="n">
        <v>5</v>
      </c>
      <c r="P45" s="25" t="n">
        <v>2</v>
      </c>
      <c r="Q45" s="35" t="n">
        <v>5</v>
      </c>
      <c r="R45" s="24" t="n">
        <v>4</v>
      </c>
      <c r="S45" s="35" t="n">
        <v>5</v>
      </c>
      <c r="T45" s="23" t="n">
        <v>3</v>
      </c>
      <c r="U45" s="24" t="n">
        <v>4</v>
      </c>
      <c r="V45" s="24" t="n">
        <v>4</v>
      </c>
      <c r="W45" s="24" t="n">
        <v>4</v>
      </c>
      <c r="X45" s="24" t="n">
        <v>4</v>
      </c>
      <c r="Y45" s="35" t="n">
        <v>5</v>
      </c>
      <c r="Z45" s="35" t="n">
        <v>5</v>
      </c>
      <c r="AA45" s="26" t="n">
        <f aca="false">ROUND(AVERAGE(D45:M45)*0.25+AVERAGE(N45:Q45)*0.2+AVERAGE(R45:V45)*0.3+AVERAGE(W45:Z45)*0.25,1)</f>
        <v>3.9</v>
      </c>
      <c r="AB45" s="31" t="s">
        <v>515</v>
      </c>
      <c r="AC45" s="32" t="s">
        <v>516</v>
      </c>
      <c r="AD45" s="32" t="s">
        <v>517</v>
      </c>
      <c r="AE45" s="32" t="s">
        <v>518</v>
      </c>
      <c r="AF45" s="32" t="s">
        <v>519</v>
      </c>
      <c r="AG45" s="32" t="s">
        <v>520</v>
      </c>
      <c r="AH45" s="32" t="s">
        <v>521</v>
      </c>
      <c r="AI45" s="32" t="s">
        <v>71</v>
      </c>
      <c r="AJ45" s="32" t="s">
        <v>522</v>
      </c>
      <c r="AK45" s="32" t="s">
        <v>167</v>
      </c>
      <c r="AL45" s="32" t="s">
        <v>71</v>
      </c>
      <c r="AM45" s="32" t="s">
        <v>61</v>
      </c>
    </row>
    <row r="46" customFormat="false" ht="37.5" hidden="false" customHeight="true" outlineLevel="0" collapsed="false">
      <c r="A46" s="17" t="s">
        <v>523</v>
      </c>
      <c r="B46" s="17" t="s">
        <v>158</v>
      </c>
      <c r="C46" s="17" t="s">
        <v>524</v>
      </c>
      <c r="D46" s="34" t="n">
        <v>1</v>
      </c>
      <c r="E46" s="34" t="n">
        <v>1</v>
      </c>
      <c r="F46" s="35" t="n">
        <v>5</v>
      </c>
      <c r="G46" s="35" t="n">
        <v>5</v>
      </c>
      <c r="H46" s="34" t="n">
        <v>1</v>
      </c>
      <c r="I46" s="34" t="n">
        <v>1</v>
      </c>
      <c r="J46" s="23" t="n">
        <v>3</v>
      </c>
      <c r="K46" s="35" t="n">
        <v>5</v>
      </c>
      <c r="L46" s="35" t="n">
        <v>5</v>
      </c>
      <c r="M46" s="35" t="n">
        <v>5</v>
      </c>
      <c r="N46" s="24" t="n">
        <v>4</v>
      </c>
      <c r="O46" s="35" t="n">
        <v>5</v>
      </c>
      <c r="P46" s="23" t="n">
        <v>3</v>
      </c>
      <c r="Q46" s="35" t="n">
        <v>5</v>
      </c>
      <c r="R46" s="24" t="n">
        <v>4</v>
      </c>
      <c r="S46" s="35" t="n">
        <v>5</v>
      </c>
      <c r="T46" s="24" t="n">
        <v>4</v>
      </c>
      <c r="U46" s="24" t="n">
        <v>4</v>
      </c>
      <c r="V46" s="35" t="n">
        <v>5</v>
      </c>
      <c r="W46" s="23" t="n">
        <v>3</v>
      </c>
      <c r="X46" s="23" t="n">
        <v>3</v>
      </c>
      <c r="Y46" s="35" t="n">
        <v>5</v>
      </c>
      <c r="Z46" s="24" t="n">
        <v>4</v>
      </c>
      <c r="AA46" s="26" t="n">
        <f aca="false">ROUND(AVERAGE(D46:M46)*0.25+AVERAGE(N46:Q46)*0.2+AVERAGE(R46:V46)*0.3+AVERAGE(W46:Z46)*0.25,1)</f>
        <v>3.9</v>
      </c>
      <c r="AB46" s="27" t="s">
        <v>525</v>
      </c>
      <c r="AC46" s="28" t="s">
        <v>526</v>
      </c>
      <c r="AD46" s="28" t="s">
        <v>527</v>
      </c>
      <c r="AE46" s="28" t="s">
        <v>528</v>
      </c>
      <c r="AF46" s="28" t="s">
        <v>529</v>
      </c>
      <c r="AG46" s="28" t="s">
        <v>530</v>
      </c>
      <c r="AH46" s="28" t="s">
        <v>531</v>
      </c>
      <c r="AI46" s="28" t="s">
        <v>71</v>
      </c>
      <c r="AJ46" s="28" t="s">
        <v>158</v>
      </c>
      <c r="AK46" s="28" t="s">
        <v>167</v>
      </c>
      <c r="AL46" s="28" t="s">
        <v>71</v>
      </c>
      <c r="AM46" s="28" t="s">
        <v>61</v>
      </c>
    </row>
    <row r="47" customFormat="false" ht="37.5" hidden="false" customHeight="true" outlineLevel="0" collapsed="false">
      <c r="A47" s="29" t="s">
        <v>532</v>
      </c>
      <c r="B47" s="29" t="s">
        <v>76</v>
      </c>
      <c r="C47" s="29" t="s">
        <v>533</v>
      </c>
      <c r="D47" s="23" t="n">
        <v>3</v>
      </c>
      <c r="E47" s="24" t="n">
        <v>4</v>
      </c>
      <c r="F47" s="35" t="n">
        <v>5</v>
      </c>
      <c r="G47" s="35" t="n">
        <v>5</v>
      </c>
      <c r="H47" s="34" t="n">
        <v>1</v>
      </c>
      <c r="I47" s="25" t="n">
        <v>2</v>
      </c>
      <c r="J47" s="35" t="n">
        <v>5</v>
      </c>
      <c r="K47" s="35" t="n">
        <v>5</v>
      </c>
      <c r="L47" s="35" t="n">
        <v>5</v>
      </c>
      <c r="M47" s="35" t="n">
        <v>5</v>
      </c>
      <c r="N47" s="35" t="n">
        <v>5</v>
      </c>
      <c r="O47" s="35" t="n">
        <v>5</v>
      </c>
      <c r="P47" s="24" t="n">
        <v>4</v>
      </c>
      <c r="Q47" s="35" t="n">
        <v>5</v>
      </c>
      <c r="R47" s="24" t="n">
        <v>4</v>
      </c>
      <c r="S47" s="24" t="n">
        <v>4</v>
      </c>
      <c r="T47" s="24" t="n">
        <v>4</v>
      </c>
      <c r="U47" s="23" t="n">
        <v>3</v>
      </c>
      <c r="V47" s="23" t="n">
        <v>3</v>
      </c>
      <c r="W47" s="35" t="n">
        <v>5</v>
      </c>
      <c r="X47" s="35" t="n">
        <v>5</v>
      </c>
      <c r="Y47" s="35" t="n">
        <v>5</v>
      </c>
      <c r="Z47" s="35" t="n">
        <v>5</v>
      </c>
      <c r="AA47" s="26" t="n">
        <f aca="false">ROUND(AVERAGE(D47:M47)*0.25+AVERAGE(N47:Q47)*0.2+AVERAGE(R47:V47)*0.3+AVERAGE(W47:Z47)*0.25,1)</f>
        <v>4.3</v>
      </c>
      <c r="AB47" s="31" t="s">
        <v>534</v>
      </c>
      <c r="AC47" s="32" t="s">
        <v>535</v>
      </c>
      <c r="AD47" s="32" t="s">
        <v>536</v>
      </c>
      <c r="AE47" s="32" t="s">
        <v>537</v>
      </c>
      <c r="AF47" s="32" t="s">
        <v>538</v>
      </c>
      <c r="AG47" s="32" t="s">
        <v>539</v>
      </c>
      <c r="AH47" s="32" t="s">
        <v>540</v>
      </c>
      <c r="AI47" s="32" t="s">
        <v>71</v>
      </c>
      <c r="AJ47" s="32" t="s">
        <v>433</v>
      </c>
      <c r="AK47" s="32" t="s">
        <v>434</v>
      </c>
      <c r="AL47" s="32" t="s">
        <v>71</v>
      </c>
      <c r="AM47" s="32" t="s">
        <v>61</v>
      </c>
    </row>
    <row r="48" customFormat="false" ht="37.5" hidden="false" customHeight="true" outlineLevel="0" collapsed="false">
      <c r="A48" s="17" t="s">
        <v>541</v>
      </c>
      <c r="B48" s="17" t="s">
        <v>76</v>
      </c>
      <c r="C48" s="17" t="s">
        <v>542</v>
      </c>
      <c r="D48" s="24" t="n">
        <v>4</v>
      </c>
      <c r="E48" s="35" t="n">
        <v>5</v>
      </c>
      <c r="F48" s="35" t="n">
        <v>5</v>
      </c>
      <c r="G48" s="24" t="n">
        <v>4</v>
      </c>
      <c r="H48" s="34" t="n">
        <v>1</v>
      </c>
      <c r="I48" s="25" t="n">
        <v>2</v>
      </c>
      <c r="J48" s="35" t="n">
        <v>5</v>
      </c>
      <c r="K48" s="35" t="n">
        <v>5</v>
      </c>
      <c r="L48" s="35" t="n">
        <v>5</v>
      </c>
      <c r="M48" s="24" t="n">
        <v>4</v>
      </c>
      <c r="N48" s="35" t="n">
        <v>5</v>
      </c>
      <c r="O48" s="35" t="n">
        <v>5</v>
      </c>
      <c r="P48" s="35" t="n">
        <v>5</v>
      </c>
      <c r="Q48" s="35" t="n">
        <v>5</v>
      </c>
      <c r="R48" s="24" t="n">
        <v>4</v>
      </c>
      <c r="S48" s="24" t="n">
        <v>4</v>
      </c>
      <c r="T48" s="23" t="n">
        <v>3</v>
      </c>
      <c r="U48" s="25" t="n">
        <v>2</v>
      </c>
      <c r="V48" s="23" t="n">
        <v>3</v>
      </c>
      <c r="W48" s="35" t="n">
        <v>5</v>
      </c>
      <c r="X48" s="35" t="n">
        <v>5</v>
      </c>
      <c r="Y48" s="35" t="n">
        <v>5</v>
      </c>
      <c r="Z48" s="35" t="n">
        <v>5</v>
      </c>
      <c r="AA48" s="26" t="n">
        <f aca="false">ROUND(AVERAGE(D48:M48)*0.25+AVERAGE(N48:Q48)*0.2+AVERAGE(R48:V48)*0.3+AVERAGE(W48:Z48)*0.25,1)</f>
        <v>4.2</v>
      </c>
      <c r="AB48" s="27" t="s">
        <v>543</v>
      </c>
      <c r="AC48" s="28" t="s">
        <v>544</v>
      </c>
      <c r="AD48" s="28" t="s">
        <v>545</v>
      </c>
      <c r="AE48" s="28" t="s">
        <v>546</v>
      </c>
      <c r="AF48" s="28" t="s">
        <v>547</v>
      </c>
      <c r="AG48" s="28" t="s">
        <v>548</v>
      </c>
      <c r="AH48" s="28" t="s">
        <v>549</v>
      </c>
      <c r="AI48" s="28" t="s">
        <v>71</v>
      </c>
      <c r="AJ48" s="28" t="s">
        <v>433</v>
      </c>
      <c r="AK48" s="28" t="s">
        <v>434</v>
      </c>
      <c r="AL48" s="28" t="s">
        <v>71</v>
      </c>
      <c r="AM48" s="28" t="s">
        <v>61</v>
      </c>
    </row>
    <row r="49" customFormat="false" ht="37.5" hidden="false" customHeight="true" outlineLevel="0" collapsed="false">
      <c r="A49" s="29" t="s">
        <v>550</v>
      </c>
      <c r="B49" s="29" t="s">
        <v>551</v>
      </c>
      <c r="C49" s="29" t="s">
        <v>552</v>
      </c>
      <c r="D49" s="34" t="n">
        <v>1</v>
      </c>
      <c r="E49" s="34" t="n">
        <v>1</v>
      </c>
      <c r="F49" s="24" t="n">
        <v>4</v>
      </c>
      <c r="G49" s="35" t="n">
        <v>5</v>
      </c>
      <c r="H49" s="34" t="n">
        <v>1</v>
      </c>
      <c r="I49" s="34" t="n">
        <v>1</v>
      </c>
      <c r="J49" s="23" t="n">
        <v>3</v>
      </c>
      <c r="K49" s="35" t="n">
        <v>5</v>
      </c>
      <c r="L49" s="35" t="n">
        <v>5</v>
      </c>
      <c r="M49" s="35" t="n">
        <v>5</v>
      </c>
      <c r="N49" s="35" t="n">
        <v>5</v>
      </c>
      <c r="O49" s="35" t="n">
        <v>5</v>
      </c>
      <c r="P49" s="23" t="n">
        <v>3</v>
      </c>
      <c r="Q49" s="35" t="n">
        <v>5</v>
      </c>
      <c r="R49" s="35" t="n">
        <v>5</v>
      </c>
      <c r="S49" s="24" t="n">
        <v>4</v>
      </c>
      <c r="T49" s="24" t="n">
        <v>4</v>
      </c>
      <c r="U49" s="35" t="n">
        <v>5</v>
      </c>
      <c r="V49" s="35" t="n">
        <v>5</v>
      </c>
      <c r="W49" s="24" t="n">
        <v>4</v>
      </c>
      <c r="X49" s="23" t="n">
        <v>3</v>
      </c>
      <c r="Y49" s="35" t="n">
        <v>5</v>
      </c>
      <c r="Z49" s="35" t="n">
        <v>5</v>
      </c>
      <c r="AA49" s="26" t="n">
        <f aca="false">ROUND(AVERAGE(D49:M49)*0.25+AVERAGE(N49:Q49)*0.2+AVERAGE(R49:V49)*0.3+AVERAGE(W49:Z49)*0.25,1)</f>
        <v>4.1</v>
      </c>
      <c r="AB49" s="31" t="s">
        <v>553</v>
      </c>
      <c r="AC49" s="32" t="s">
        <v>554</v>
      </c>
      <c r="AD49" s="32" t="s">
        <v>555</v>
      </c>
      <c r="AE49" s="32" t="s">
        <v>556</v>
      </c>
      <c r="AF49" s="32" t="s">
        <v>557</v>
      </c>
      <c r="AG49" s="32" t="s">
        <v>558</v>
      </c>
      <c r="AH49" s="32" t="s">
        <v>559</v>
      </c>
      <c r="AI49" s="32" t="s">
        <v>71</v>
      </c>
      <c r="AJ49" s="32" t="s">
        <v>560</v>
      </c>
      <c r="AK49" s="32" t="s">
        <v>167</v>
      </c>
      <c r="AL49" s="32" t="s">
        <v>60</v>
      </c>
      <c r="AM49" s="32" t="s">
        <v>61</v>
      </c>
    </row>
    <row r="50" customFormat="false" ht="37.5" hidden="false" customHeight="true" outlineLevel="0" collapsed="false">
      <c r="A50" s="17" t="s">
        <v>561</v>
      </c>
      <c r="B50" s="17" t="s">
        <v>551</v>
      </c>
      <c r="C50" s="17" t="s">
        <v>562</v>
      </c>
      <c r="D50" s="34" t="n">
        <v>1</v>
      </c>
      <c r="E50" s="34" t="n">
        <v>1</v>
      </c>
      <c r="F50" s="35" t="n">
        <v>5</v>
      </c>
      <c r="G50" s="35" t="n">
        <v>5</v>
      </c>
      <c r="H50" s="34" t="n">
        <v>1</v>
      </c>
      <c r="I50" s="34" t="n">
        <v>1</v>
      </c>
      <c r="J50" s="23" t="n">
        <v>3</v>
      </c>
      <c r="K50" s="35" t="n">
        <v>5</v>
      </c>
      <c r="L50" s="35" t="n">
        <v>5</v>
      </c>
      <c r="M50" s="35" t="n">
        <v>5</v>
      </c>
      <c r="N50" s="35" t="n">
        <v>5</v>
      </c>
      <c r="O50" s="35" t="n">
        <v>5</v>
      </c>
      <c r="P50" s="23" t="n">
        <v>3</v>
      </c>
      <c r="Q50" s="35" t="n">
        <v>5</v>
      </c>
      <c r="R50" s="35" t="n">
        <v>5</v>
      </c>
      <c r="S50" s="24" t="n">
        <v>4</v>
      </c>
      <c r="T50" s="24" t="n">
        <v>4</v>
      </c>
      <c r="U50" s="35" t="n">
        <v>5</v>
      </c>
      <c r="V50" s="35" t="n">
        <v>5</v>
      </c>
      <c r="W50" s="23" t="n">
        <v>3</v>
      </c>
      <c r="X50" s="23" t="n">
        <v>3</v>
      </c>
      <c r="Y50" s="35" t="n">
        <v>5</v>
      </c>
      <c r="Z50" s="35" t="n">
        <v>5</v>
      </c>
      <c r="AA50" s="26" t="n">
        <f aca="false">ROUND(AVERAGE(D50:M50)*0.25+AVERAGE(N50:Q50)*0.2+AVERAGE(R50:V50)*0.3+AVERAGE(W50:Z50)*0.25,1)</f>
        <v>4.1</v>
      </c>
      <c r="AB50" s="27" t="s">
        <v>563</v>
      </c>
      <c r="AC50" s="28" t="s">
        <v>564</v>
      </c>
      <c r="AD50" s="28" t="s">
        <v>565</v>
      </c>
      <c r="AE50" s="28" t="s">
        <v>566</v>
      </c>
      <c r="AF50" s="28" t="s">
        <v>567</v>
      </c>
      <c r="AG50" s="28" t="s">
        <v>568</v>
      </c>
      <c r="AH50" s="28" t="s">
        <v>569</v>
      </c>
      <c r="AI50" s="28" t="s">
        <v>71</v>
      </c>
      <c r="AJ50" s="28" t="s">
        <v>158</v>
      </c>
      <c r="AK50" s="28" t="s">
        <v>167</v>
      </c>
      <c r="AL50" s="28" t="s">
        <v>71</v>
      </c>
      <c r="AM50" s="28" t="s">
        <v>61</v>
      </c>
    </row>
    <row r="51" customFormat="false" ht="37.5" hidden="false" customHeight="true" outlineLevel="0" collapsed="false">
      <c r="A51" s="29" t="s">
        <v>570</v>
      </c>
      <c r="B51" s="29" t="s">
        <v>158</v>
      </c>
      <c r="C51" s="29" t="s">
        <v>571</v>
      </c>
      <c r="D51" s="34" t="n">
        <v>1</v>
      </c>
      <c r="E51" s="34" t="n">
        <v>1</v>
      </c>
      <c r="F51" s="35" t="n">
        <v>5</v>
      </c>
      <c r="G51" s="35" t="n">
        <v>5</v>
      </c>
      <c r="H51" s="34" t="n">
        <v>1</v>
      </c>
      <c r="I51" s="34" t="n">
        <v>1</v>
      </c>
      <c r="J51" s="25" t="n">
        <v>2</v>
      </c>
      <c r="K51" s="35" t="n">
        <v>5</v>
      </c>
      <c r="L51" s="24" t="n">
        <v>4</v>
      </c>
      <c r="M51" s="24" t="n">
        <v>4</v>
      </c>
      <c r="N51" s="23" t="n">
        <v>3</v>
      </c>
      <c r="O51" s="23" t="n">
        <v>3</v>
      </c>
      <c r="P51" s="25" t="n">
        <v>2</v>
      </c>
      <c r="Q51" s="24" t="n">
        <v>4</v>
      </c>
      <c r="R51" s="23" t="n">
        <v>3</v>
      </c>
      <c r="S51" s="23" t="n">
        <v>3</v>
      </c>
      <c r="T51" s="23" t="n">
        <v>3</v>
      </c>
      <c r="U51" s="25" t="n">
        <v>2</v>
      </c>
      <c r="V51" s="35" t="n">
        <v>5</v>
      </c>
      <c r="W51" s="23" t="n">
        <v>3</v>
      </c>
      <c r="X51" s="23" t="n">
        <v>3</v>
      </c>
      <c r="Y51" s="24" t="n">
        <v>4</v>
      </c>
      <c r="Z51" s="23" t="n">
        <v>3</v>
      </c>
      <c r="AA51" s="26" t="n">
        <f aca="false">ROUND(AVERAGE(D51:M51)*0.25+AVERAGE(N51:Q51)*0.2+AVERAGE(R51:V51)*0.3+AVERAGE(W51:Z51)*0.25,1)</f>
        <v>3.1</v>
      </c>
      <c r="AB51" s="31" t="s">
        <v>572</v>
      </c>
      <c r="AC51" s="32" t="s">
        <v>573</v>
      </c>
      <c r="AD51" s="32" t="s">
        <v>574</v>
      </c>
      <c r="AE51" s="32" t="s">
        <v>575</v>
      </c>
      <c r="AF51" s="32" t="s">
        <v>576</v>
      </c>
      <c r="AG51" s="32" t="s">
        <v>577</v>
      </c>
      <c r="AH51" s="32" t="s">
        <v>432</v>
      </c>
      <c r="AI51" s="32" t="s">
        <v>71</v>
      </c>
      <c r="AJ51" s="32" t="s">
        <v>158</v>
      </c>
      <c r="AK51" s="32" t="s">
        <v>167</v>
      </c>
      <c r="AL51" s="32" t="s">
        <v>74</v>
      </c>
      <c r="AM51" s="32" t="s">
        <v>61</v>
      </c>
    </row>
    <row r="52" customFormat="false" ht="37.5" hidden="false" customHeight="true" outlineLevel="0" collapsed="false">
      <c r="A52" s="17" t="s">
        <v>578</v>
      </c>
      <c r="B52" s="17" t="s">
        <v>310</v>
      </c>
      <c r="C52" s="17" t="s">
        <v>579</v>
      </c>
      <c r="D52" s="23" t="n">
        <v>3</v>
      </c>
      <c r="E52" s="35" t="n">
        <v>5</v>
      </c>
      <c r="F52" s="35" t="n">
        <v>5</v>
      </c>
      <c r="G52" s="24" t="n">
        <v>4</v>
      </c>
      <c r="H52" s="34" t="n">
        <v>1</v>
      </c>
      <c r="I52" s="25" t="n">
        <v>2</v>
      </c>
      <c r="J52" s="35" t="n">
        <v>5</v>
      </c>
      <c r="K52" s="35" t="n">
        <v>5</v>
      </c>
      <c r="L52" s="35" t="n">
        <v>5</v>
      </c>
      <c r="M52" s="35" t="n">
        <v>5</v>
      </c>
      <c r="N52" s="35" t="n">
        <v>5</v>
      </c>
      <c r="O52" s="35" t="n">
        <v>5</v>
      </c>
      <c r="P52" s="35" t="n">
        <v>5</v>
      </c>
      <c r="Q52" s="35" t="n">
        <v>5</v>
      </c>
      <c r="R52" s="35" t="n">
        <v>5</v>
      </c>
      <c r="S52" s="35" t="n">
        <v>5</v>
      </c>
      <c r="T52" s="24" t="n">
        <v>4</v>
      </c>
      <c r="U52" s="23" t="n">
        <v>3</v>
      </c>
      <c r="V52" s="23" t="n">
        <v>3</v>
      </c>
      <c r="W52" s="35" t="n">
        <v>5</v>
      </c>
      <c r="X52" s="35" t="n">
        <v>5</v>
      </c>
      <c r="Y52" s="35" t="n">
        <v>5</v>
      </c>
      <c r="Z52" s="35" t="n">
        <v>5</v>
      </c>
      <c r="AA52" s="26" t="n">
        <f aca="false">ROUND(AVERAGE(D52:M52)*0.25+AVERAGE(N52:Q52)*0.2+AVERAGE(R52:V52)*0.3+AVERAGE(W52:Z52)*0.25,1)</f>
        <v>4.5</v>
      </c>
      <c r="AB52" s="27"/>
      <c r="AC52" s="28" t="s">
        <v>580</v>
      </c>
      <c r="AD52" s="28" t="s">
        <v>581</v>
      </c>
      <c r="AE52" s="28" t="s">
        <v>582</v>
      </c>
      <c r="AF52" s="28" t="s">
        <v>583</v>
      </c>
      <c r="AG52" s="28" t="s">
        <v>584</v>
      </c>
      <c r="AH52" s="28" t="s">
        <v>585</v>
      </c>
      <c r="AI52" s="28" t="s">
        <v>71</v>
      </c>
      <c r="AJ52" s="28" t="s">
        <v>586</v>
      </c>
      <c r="AK52" s="28" t="s">
        <v>587</v>
      </c>
      <c r="AL52" s="28" t="s">
        <v>71</v>
      </c>
      <c r="AM52" s="28" t="s">
        <v>61</v>
      </c>
    </row>
    <row r="53" customFormat="false" ht="37.5" hidden="false" customHeight="true" outlineLevel="0" collapsed="false">
      <c r="A53" s="29" t="s">
        <v>588</v>
      </c>
      <c r="B53" s="29" t="s">
        <v>589</v>
      </c>
      <c r="C53" s="29" t="s">
        <v>590</v>
      </c>
      <c r="D53" s="34" t="n">
        <v>1</v>
      </c>
      <c r="E53" s="34" t="n">
        <v>1</v>
      </c>
      <c r="F53" s="35" t="n">
        <v>5</v>
      </c>
      <c r="G53" s="35" t="n">
        <v>5</v>
      </c>
      <c r="H53" s="34" t="n">
        <v>1</v>
      </c>
      <c r="I53" s="34" t="n">
        <v>1</v>
      </c>
      <c r="J53" s="25" t="n">
        <v>2</v>
      </c>
      <c r="K53" s="35" t="n">
        <v>5</v>
      </c>
      <c r="L53" s="35" t="n">
        <v>5</v>
      </c>
      <c r="M53" s="35" t="n">
        <v>5</v>
      </c>
      <c r="N53" s="35" t="n">
        <v>5</v>
      </c>
      <c r="O53" s="35" t="n">
        <v>5</v>
      </c>
      <c r="P53" s="23" t="n">
        <v>3</v>
      </c>
      <c r="Q53" s="35" t="n">
        <v>5</v>
      </c>
      <c r="R53" s="24" t="n">
        <v>4</v>
      </c>
      <c r="S53" s="24" t="n">
        <v>4</v>
      </c>
      <c r="T53" s="24" t="n">
        <v>4</v>
      </c>
      <c r="U53" s="24" t="n">
        <v>4</v>
      </c>
      <c r="V53" s="35" t="n">
        <v>5</v>
      </c>
      <c r="W53" s="23" t="n">
        <v>3</v>
      </c>
      <c r="X53" s="23" t="n">
        <v>3</v>
      </c>
      <c r="Y53" s="35" t="n">
        <v>5</v>
      </c>
      <c r="Z53" s="35" t="n">
        <v>5</v>
      </c>
      <c r="AA53" s="26" t="n">
        <f aca="false">ROUND(AVERAGE(D53:M53)*0.25+AVERAGE(N53:Q53)*0.2+AVERAGE(R53:V53)*0.3+AVERAGE(W53:Z53)*0.25,1)</f>
        <v>3.9</v>
      </c>
      <c r="AB53" s="31" t="s">
        <v>591</v>
      </c>
      <c r="AC53" s="32" t="s">
        <v>592</v>
      </c>
      <c r="AD53" s="32" t="s">
        <v>593</v>
      </c>
      <c r="AE53" s="32" t="s">
        <v>594</v>
      </c>
      <c r="AF53" s="32" t="s">
        <v>595</v>
      </c>
      <c r="AG53" s="32" t="s">
        <v>596</v>
      </c>
      <c r="AH53" s="32" t="s">
        <v>597</v>
      </c>
      <c r="AI53" s="32" t="s">
        <v>74</v>
      </c>
      <c r="AJ53" s="32" t="s">
        <v>158</v>
      </c>
      <c r="AK53" s="32" t="s">
        <v>167</v>
      </c>
      <c r="AL53" s="32" t="s">
        <v>71</v>
      </c>
      <c r="AM53" s="32" t="s">
        <v>61</v>
      </c>
    </row>
    <row r="54" customFormat="false" ht="37.5" hidden="false" customHeight="true" outlineLevel="0" collapsed="false">
      <c r="A54" s="17" t="s">
        <v>598</v>
      </c>
      <c r="B54" s="17" t="s">
        <v>110</v>
      </c>
      <c r="C54" s="17" t="s">
        <v>599</v>
      </c>
      <c r="D54" s="34" t="n">
        <v>1</v>
      </c>
      <c r="E54" s="34" t="n">
        <v>1</v>
      </c>
      <c r="F54" s="23" t="n">
        <v>3</v>
      </c>
      <c r="G54" s="23" t="n">
        <v>3</v>
      </c>
      <c r="H54" s="25" t="n">
        <v>2</v>
      </c>
      <c r="I54" s="34" t="n">
        <v>1</v>
      </c>
      <c r="J54" s="23" t="n">
        <v>3</v>
      </c>
      <c r="K54" s="23" t="n">
        <v>3</v>
      </c>
      <c r="L54" s="23" t="n">
        <v>3</v>
      </c>
      <c r="M54" s="25" t="n">
        <v>2</v>
      </c>
      <c r="N54" s="23" t="n">
        <v>3</v>
      </c>
      <c r="O54" s="24" t="n">
        <v>4</v>
      </c>
      <c r="P54" s="25" t="n">
        <v>2</v>
      </c>
      <c r="Q54" s="23" t="n">
        <v>3</v>
      </c>
      <c r="R54" s="24" t="n">
        <v>4</v>
      </c>
      <c r="S54" s="23" t="n">
        <v>3</v>
      </c>
      <c r="T54" s="25" t="n">
        <v>2</v>
      </c>
      <c r="U54" s="24" t="n">
        <v>4</v>
      </c>
      <c r="V54" s="23" t="n">
        <v>3</v>
      </c>
      <c r="W54" s="24" t="n">
        <v>4</v>
      </c>
      <c r="X54" s="23" t="n">
        <v>3</v>
      </c>
      <c r="Y54" s="24" t="n">
        <v>4</v>
      </c>
      <c r="Z54" s="24" t="n">
        <v>4</v>
      </c>
      <c r="AA54" s="26" t="n">
        <f aca="false">ROUND(AVERAGE(D54:M54)*0.25+AVERAGE(N54:Q54)*0.2+AVERAGE(R54:V54)*0.3+AVERAGE(W54:Z54)*0.25,1)</f>
        <v>3</v>
      </c>
      <c r="AB54" s="27" t="s">
        <v>600</v>
      </c>
      <c r="AC54" s="28" t="s">
        <v>601</v>
      </c>
      <c r="AD54" s="28" t="s">
        <v>602</v>
      </c>
      <c r="AE54" s="28" t="s">
        <v>603</v>
      </c>
      <c r="AF54" s="28" t="s">
        <v>604</v>
      </c>
      <c r="AG54" s="28" t="s">
        <v>605</v>
      </c>
      <c r="AH54" s="28" t="s">
        <v>606</v>
      </c>
      <c r="AI54" s="28" t="s">
        <v>71</v>
      </c>
      <c r="AJ54" s="28" t="s">
        <v>607</v>
      </c>
      <c r="AK54" s="28" t="s">
        <v>608</v>
      </c>
      <c r="AL54" s="28" t="s">
        <v>71</v>
      </c>
      <c r="AM54" s="28" t="s">
        <v>61</v>
      </c>
    </row>
    <row r="55" customFormat="false" ht="37.5" hidden="false" customHeight="true" outlineLevel="0" collapsed="false">
      <c r="A55" s="29" t="s">
        <v>609</v>
      </c>
      <c r="B55" s="29" t="s">
        <v>110</v>
      </c>
      <c r="C55" s="29" t="s">
        <v>610</v>
      </c>
      <c r="D55" s="25" t="n">
        <v>2</v>
      </c>
      <c r="E55" s="25" t="n">
        <v>2</v>
      </c>
      <c r="F55" s="24" t="n">
        <v>4</v>
      </c>
      <c r="G55" s="35" t="n">
        <v>5</v>
      </c>
      <c r="H55" s="34" t="n">
        <v>1</v>
      </c>
      <c r="I55" s="34" t="n">
        <v>1</v>
      </c>
      <c r="J55" s="23" t="n">
        <v>3</v>
      </c>
      <c r="K55" s="35" t="n">
        <v>5</v>
      </c>
      <c r="L55" s="24" t="n">
        <v>4</v>
      </c>
      <c r="M55" s="35" t="n">
        <v>5</v>
      </c>
      <c r="N55" s="24" t="n">
        <v>4</v>
      </c>
      <c r="O55" s="35" t="n">
        <v>5</v>
      </c>
      <c r="P55" s="23" t="n">
        <v>3</v>
      </c>
      <c r="Q55" s="35" t="n">
        <v>5</v>
      </c>
      <c r="R55" s="24" t="n">
        <v>4</v>
      </c>
      <c r="S55" s="23" t="n">
        <v>3</v>
      </c>
      <c r="T55" s="23" t="n">
        <v>3</v>
      </c>
      <c r="U55" s="24" t="n">
        <v>4</v>
      </c>
      <c r="V55" s="24" t="n">
        <v>4</v>
      </c>
      <c r="W55" s="24" t="n">
        <v>4</v>
      </c>
      <c r="X55" s="24" t="n">
        <v>4</v>
      </c>
      <c r="Y55" s="35" t="n">
        <v>5</v>
      </c>
      <c r="Z55" s="35" t="n">
        <v>5</v>
      </c>
      <c r="AA55" s="26" t="n">
        <f aca="false">ROUND(AVERAGE(D55:M55)*0.25+AVERAGE(N55:Q55)*0.2+AVERAGE(R55:V55)*0.3+AVERAGE(W55:Z55)*0.25,1)</f>
        <v>3.9</v>
      </c>
      <c r="AB55" s="31" t="s">
        <v>611</v>
      </c>
      <c r="AC55" s="32" t="s">
        <v>612</v>
      </c>
      <c r="AD55" s="32" t="s">
        <v>613</v>
      </c>
      <c r="AE55" s="32" t="s">
        <v>614</v>
      </c>
      <c r="AF55" s="32" t="s">
        <v>615</v>
      </c>
      <c r="AG55" s="32" t="s">
        <v>616</v>
      </c>
      <c r="AH55" s="32" t="s">
        <v>617</v>
      </c>
      <c r="AI55" s="32" t="s">
        <v>71</v>
      </c>
      <c r="AJ55" s="32" t="s">
        <v>618</v>
      </c>
      <c r="AK55" s="32" t="s">
        <v>619</v>
      </c>
      <c r="AL55" s="32" t="s">
        <v>71</v>
      </c>
      <c r="AM55" s="32" t="s">
        <v>61</v>
      </c>
    </row>
    <row r="56" customFormat="false" ht="37.5" hidden="false" customHeight="true" outlineLevel="0" collapsed="false">
      <c r="A56" s="17" t="s">
        <v>620</v>
      </c>
      <c r="B56" s="17" t="s">
        <v>621</v>
      </c>
      <c r="C56" s="17" t="s">
        <v>622</v>
      </c>
      <c r="D56" s="34" t="n">
        <v>1</v>
      </c>
      <c r="E56" s="34" t="n">
        <v>1</v>
      </c>
      <c r="F56" s="35" t="n">
        <v>5</v>
      </c>
      <c r="G56" s="35" t="n">
        <v>5</v>
      </c>
      <c r="H56" s="34" t="n">
        <v>1</v>
      </c>
      <c r="I56" s="34" t="n">
        <v>1</v>
      </c>
      <c r="J56" s="23" t="n">
        <v>3</v>
      </c>
      <c r="K56" s="35" t="n">
        <v>5</v>
      </c>
      <c r="L56" s="35" t="n">
        <v>5</v>
      </c>
      <c r="M56" s="35" t="n">
        <v>5</v>
      </c>
      <c r="N56" s="24" t="n">
        <v>4</v>
      </c>
      <c r="O56" s="35" t="n">
        <v>5</v>
      </c>
      <c r="P56" s="23" t="n">
        <v>3</v>
      </c>
      <c r="Q56" s="35" t="n">
        <v>5</v>
      </c>
      <c r="R56" s="24" t="n">
        <v>4</v>
      </c>
      <c r="S56" s="23" t="n">
        <v>3</v>
      </c>
      <c r="T56" s="23" t="n">
        <v>3</v>
      </c>
      <c r="U56" s="24" t="n">
        <v>4</v>
      </c>
      <c r="V56" s="24" t="n">
        <v>4</v>
      </c>
      <c r="W56" s="23" t="n">
        <v>3</v>
      </c>
      <c r="X56" s="23" t="n">
        <v>3</v>
      </c>
      <c r="Y56" s="35" t="n">
        <v>5</v>
      </c>
      <c r="Z56" s="24" t="n">
        <v>4</v>
      </c>
      <c r="AA56" s="26" t="n">
        <f aca="false">ROUND(AVERAGE(D56:M56)*0.25+AVERAGE(N56:Q56)*0.2+AVERAGE(R56:V56)*0.3+AVERAGE(W56:Z56)*0.25,1)</f>
        <v>3.7</v>
      </c>
      <c r="AB56" s="27" t="s">
        <v>623</v>
      </c>
      <c r="AC56" s="28" t="s">
        <v>624</v>
      </c>
      <c r="AD56" s="28" t="s">
        <v>625</v>
      </c>
      <c r="AE56" s="28" t="s">
        <v>626</v>
      </c>
      <c r="AF56" s="28" t="s">
        <v>627</v>
      </c>
      <c r="AG56" s="28" t="s">
        <v>628</v>
      </c>
      <c r="AH56" s="28" t="s">
        <v>629</v>
      </c>
      <c r="AI56" s="28" t="s">
        <v>71</v>
      </c>
      <c r="AJ56" s="28" t="s">
        <v>630</v>
      </c>
      <c r="AK56" s="28" t="s">
        <v>631</v>
      </c>
      <c r="AL56" s="28" t="s">
        <v>71</v>
      </c>
      <c r="AM56" s="28" t="s">
        <v>61</v>
      </c>
    </row>
    <row r="57" customFormat="false" ht="37.5" hidden="false" customHeight="true" outlineLevel="0" collapsed="false">
      <c r="A57" s="29" t="s">
        <v>632</v>
      </c>
      <c r="B57" s="29" t="s">
        <v>633</v>
      </c>
      <c r="C57" s="29" t="s">
        <v>634</v>
      </c>
      <c r="D57" s="25" t="n">
        <v>2</v>
      </c>
      <c r="E57" s="25" t="n">
        <v>2</v>
      </c>
      <c r="F57" s="24" t="n">
        <v>4</v>
      </c>
      <c r="G57" s="24" t="n">
        <v>4</v>
      </c>
      <c r="H57" s="34" t="n">
        <v>1</v>
      </c>
      <c r="I57" s="34" t="n">
        <v>1</v>
      </c>
      <c r="J57" s="23" t="n">
        <v>3</v>
      </c>
      <c r="K57" s="24" t="n">
        <v>4</v>
      </c>
      <c r="L57" s="24" t="n">
        <v>4</v>
      </c>
      <c r="M57" s="24" t="n">
        <v>4</v>
      </c>
      <c r="N57" s="24" t="n">
        <v>4</v>
      </c>
      <c r="O57" s="35" t="n">
        <v>5</v>
      </c>
      <c r="P57" s="23" t="n">
        <v>3</v>
      </c>
      <c r="Q57" s="24" t="n">
        <v>4</v>
      </c>
      <c r="R57" s="23" t="n">
        <v>3</v>
      </c>
      <c r="S57" s="24" t="n">
        <v>4</v>
      </c>
      <c r="T57" s="25" t="n">
        <v>2</v>
      </c>
      <c r="U57" s="25" t="n">
        <v>2</v>
      </c>
      <c r="V57" s="25" t="n">
        <v>2</v>
      </c>
      <c r="W57" s="35" t="n">
        <v>5</v>
      </c>
      <c r="X57" s="24" t="n">
        <v>4</v>
      </c>
      <c r="Y57" s="35" t="n">
        <v>5</v>
      </c>
      <c r="Z57" s="35" t="n">
        <v>5</v>
      </c>
      <c r="AA57" s="26" t="n">
        <f aca="false">ROUND(AVERAGE(D57:M57)*0.25+AVERAGE(N57:Q57)*0.2+AVERAGE(R57:V57)*0.3+AVERAGE(W57:Z57)*0.25,1)</f>
        <v>3.5</v>
      </c>
      <c r="AB57" s="31" t="s">
        <v>635</v>
      </c>
      <c r="AC57" s="32" t="s">
        <v>636</v>
      </c>
      <c r="AD57" s="32" t="s">
        <v>637</v>
      </c>
      <c r="AE57" s="32" t="s">
        <v>638</v>
      </c>
      <c r="AF57" s="32" t="s">
        <v>639</v>
      </c>
      <c r="AG57" s="32" t="s">
        <v>640</v>
      </c>
      <c r="AH57" s="32" t="s">
        <v>641</v>
      </c>
      <c r="AI57" s="32" t="s">
        <v>71</v>
      </c>
      <c r="AJ57" s="32" t="s">
        <v>642</v>
      </c>
      <c r="AK57" s="32" t="s">
        <v>643</v>
      </c>
      <c r="AL57" s="32" t="s">
        <v>71</v>
      </c>
      <c r="AM57" s="32" t="s">
        <v>61</v>
      </c>
    </row>
    <row r="58" customFormat="false" ht="37.5" hidden="false" customHeight="true" outlineLevel="0" collapsed="false">
      <c r="A58" s="17" t="s">
        <v>644</v>
      </c>
      <c r="B58" s="17" t="s">
        <v>645</v>
      </c>
      <c r="C58" s="17" t="s">
        <v>646</v>
      </c>
      <c r="D58" s="34" t="n">
        <v>1</v>
      </c>
      <c r="E58" s="34" t="n">
        <v>1</v>
      </c>
      <c r="F58" s="35" t="n">
        <v>5</v>
      </c>
      <c r="G58" s="35" t="n">
        <v>5</v>
      </c>
      <c r="H58" s="34" t="n">
        <v>1</v>
      </c>
      <c r="I58" s="34" t="n">
        <v>1</v>
      </c>
      <c r="J58" s="23" t="n">
        <v>3</v>
      </c>
      <c r="K58" s="35" t="n">
        <v>5</v>
      </c>
      <c r="L58" s="35" t="n">
        <v>5</v>
      </c>
      <c r="M58" s="35" t="n">
        <v>5</v>
      </c>
      <c r="N58" s="24" t="n">
        <v>4</v>
      </c>
      <c r="O58" s="35" t="n">
        <v>5</v>
      </c>
      <c r="P58" s="23" t="n">
        <v>3</v>
      </c>
      <c r="Q58" s="35" t="n">
        <v>5</v>
      </c>
      <c r="R58" s="23" t="n">
        <v>3</v>
      </c>
      <c r="S58" s="23" t="n">
        <v>3</v>
      </c>
      <c r="T58" s="23" t="n">
        <v>3</v>
      </c>
      <c r="U58" s="23" t="n">
        <v>3</v>
      </c>
      <c r="V58" s="24" t="n">
        <v>4</v>
      </c>
      <c r="W58" s="23" t="n">
        <v>3</v>
      </c>
      <c r="X58" s="23" t="n">
        <v>3</v>
      </c>
      <c r="Y58" s="35" t="n">
        <v>5</v>
      </c>
      <c r="Z58" s="24" t="n">
        <v>4</v>
      </c>
      <c r="AA58" s="26" t="n">
        <f aca="false">ROUND(AVERAGE(D58:M58)*0.25+AVERAGE(N58:Q58)*0.2+AVERAGE(R58:V58)*0.3+AVERAGE(W58:Z58)*0.25,1)</f>
        <v>3.5</v>
      </c>
      <c r="AB58" s="27" t="s">
        <v>647</v>
      </c>
      <c r="AC58" s="28" t="s">
        <v>648</v>
      </c>
      <c r="AD58" s="28" t="s">
        <v>649</v>
      </c>
      <c r="AE58" s="28" t="s">
        <v>650</v>
      </c>
      <c r="AF58" s="28" t="s">
        <v>651</v>
      </c>
      <c r="AG58" s="28" t="s">
        <v>652</v>
      </c>
      <c r="AH58" s="28" t="s">
        <v>653</v>
      </c>
      <c r="AI58" s="28" t="s">
        <v>71</v>
      </c>
      <c r="AJ58" s="28" t="s">
        <v>158</v>
      </c>
      <c r="AK58" s="28" t="s">
        <v>167</v>
      </c>
      <c r="AL58" s="28" t="s">
        <v>71</v>
      </c>
      <c r="AM58" s="28" t="s">
        <v>61</v>
      </c>
    </row>
    <row r="59" customFormat="false" ht="37.5" hidden="false" customHeight="true" outlineLevel="0" collapsed="false">
      <c r="A59" s="29" t="s">
        <v>654</v>
      </c>
      <c r="B59" s="29" t="s">
        <v>655</v>
      </c>
      <c r="C59" s="29" t="s">
        <v>656</v>
      </c>
      <c r="D59" s="23" t="n">
        <v>3</v>
      </c>
      <c r="E59" s="24" t="n">
        <v>4</v>
      </c>
      <c r="F59" s="24" t="n">
        <v>4</v>
      </c>
      <c r="G59" s="24" t="n">
        <v>4</v>
      </c>
      <c r="H59" s="25" t="n">
        <v>2</v>
      </c>
      <c r="I59" s="25" t="n">
        <v>2</v>
      </c>
      <c r="J59" s="24" t="n">
        <v>4</v>
      </c>
      <c r="K59" s="24" t="n">
        <v>4</v>
      </c>
      <c r="L59" s="24" t="n">
        <v>4</v>
      </c>
      <c r="M59" s="24" t="n">
        <v>4</v>
      </c>
      <c r="N59" s="24" t="n">
        <v>4</v>
      </c>
      <c r="O59" s="35" t="n">
        <v>5</v>
      </c>
      <c r="P59" s="24" t="n">
        <v>4</v>
      </c>
      <c r="Q59" s="24" t="n">
        <v>4</v>
      </c>
      <c r="R59" s="24" t="n">
        <v>4</v>
      </c>
      <c r="S59" s="24" t="n">
        <v>4</v>
      </c>
      <c r="T59" s="23" t="n">
        <v>3</v>
      </c>
      <c r="U59" s="23" t="n">
        <v>3</v>
      </c>
      <c r="V59" s="25" t="n">
        <v>2</v>
      </c>
      <c r="W59" s="35" t="n">
        <v>5</v>
      </c>
      <c r="X59" s="24" t="n">
        <v>4</v>
      </c>
      <c r="Y59" s="35" t="n">
        <v>5</v>
      </c>
      <c r="Z59" s="24" t="n">
        <v>4</v>
      </c>
      <c r="AA59" s="26" t="n">
        <f aca="false">ROUND(AVERAGE(D59:M59)*0.25+AVERAGE(N59:Q59)*0.2+AVERAGE(R59:V59)*0.3+AVERAGE(W59:Z59)*0.25,1)</f>
        <v>3.8</v>
      </c>
      <c r="AB59" s="31" t="s">
        <v>657</v>
      </c>
      <c r="AC59" s="32" t="s">
        <v>658</v>
      </c>
      <c r="AD59" s="32" t="s">
        <v>659</v>
      </c>
      <c r="AE59" s="32" t="s">
        <v>660</v>
      </c>
      <c r="AF59" s="32" t="s">
        <v>661</v>
      </c>
      <c r="AG59" s="32" t="s">
        <v>662</v>
      </c>
      <c r="AH59" s="32" t="s">
        <v>663</v>
      </c>
      <c r="AI59" s="32" t="s">
        <v>71</v>
      </c>
      <c r="AJ59" s="32" t="s">
        <v>664</v>
      </c>
      <c r="AK59" s="32" t="s">
        <v>665</v>
      </c>
      <c r="AL59" s="32" t="s">
        <v>71</v>
      </c>
      <c r="AM59" s="32" t="s">
        <v>61</v>
      </c>
    </row>
    <row r="60" customFormat="false" ht="37.5" hidden="false" customHeight="true" outlineLevel="0" collapsed="false">
      <c r="A60" s="17" t="s">
        <v>666</v>
      </c>
      <c r="B60" s="17" t="s">
        <v>198</v>
      </c>
      <c r="C60" s="17" t="s">
        <v>667</v>
      </c>
      <c r="D60" s="25" t="n">
        <v>2</v>
      </c>
      <c r="E60" s="25" t="n">
        <v>2</v>
      </c>
      <c r="F60" s="23" t="n">
        <v>3</v>
      </c>
      <c r="G60" s="24" t="n">
        <v>4</v>
      </c>
      <c r="H60" s="34" t="n">
        <v>1</v>
      </c>
      <c r="I60" s="34" t="n">
        <v>1</v>
      </c>
      <c r="J60" s="23" t="n">
        <v>3</v>
      </c>
      <c r="K60" s="23" t="n">
        <v>3</v>
      </c>
      <c r="L60" s="23" t="n">
        <v>3</v>
      </c>
      <c r="M60" s="23" t="n">
        <v>3</v>
      </c>
      <c r="N60" s="23" t="n">
        <v>3</v>
      </c>
      <c r="O60" s="24" t="n">
        <v>4</v>
      </c>
      <c r="P60" s="23" t="n">
        <v>3</v>
      </c>
      <c r="Q60" s="23" t="n">
        <v>3</v>
      </c>
      <c r="R60" s="25" t="n">
        <v>2</v>
      </c>
      <c r="S60" s="23" t="n">
        <v>3</v>
      </c>
      <c r="T60" s="25" t="n">
        <v>2</v>
      </c>
      <c r="U60" s="25" t="n">
        <v>2</v>
      </c>
      <c r="V60" s="25" t="n">
        <v>2</v>
      </c>
      <c r="W60" s="23" t="n">
        <v>3</v>
      </c>
      <c r="X60" s="23" t="n">
        <v>3</v>
      </c>
      <c r="Y60" s="23" t="n">
        <v>3</v>
      </c>
      <c r="Z60" s="23" t="n">
        <v>3</v>
      </c>
      <c r="AA60" s="26" t="n">
        <f aca="false">ROUND(AVERAGE(D60:M60)*0.25+AVERAGE(N60:Q60)*0.2+AVERAGE(R60:V60)*0.3+AVERAGE(W60:Z60)*0.25,1)</f>
        <v>2.7</v>
      </c>
      <c r="AB60" s="27" t="s">
        <v>668</v>
      </c>
      <c r="AC60" s="28" t="s">
        <v>669</v>
      </c>
      <c r="AD60" s="28" t="s">
        <v>670</v>
      </c>
      <c r="AE60" s="28" t="s">
        <v>671</v>
      </c>
      <c r="AF60" s="28" t="s">
        <v>672</v>
      </c>
      <c r="AG60" s="28" t="s">
        <v>673</v>
      </c>
      <c r="AH60" s="28" t="s">
        <v>674</v>
      </c>
      <c r="AI60" s="28" t="s">
        <v>71</v>
      </c>
      <c r="AJ60" s="28" t="s">
        <v>675</v>
      </c>
      <c r="AK60" s="28" t="s">
        <v>676</v>
      </c>
      <c r="AL60" s="28" t="s">
        <v>74</v>
      </c>
      <c r="AM60" s="28" t="s">
        <v>61</v>
      </c>
    </row>
    <row r="61" customFormat="false" ht="37.5" hidden="false" customHeight="true" outlineLevel="0" collapsed="false">
      <c r="A61" s="29" t="s">
        <v>677</v>
      </c>
      <c r="B61" s="29" t="s">
        <v>678</v>
      </c>
      <c r="C61" s="29" t="s">
        <v>679</v>
      </c>
      <c r="D61" s="34" t="n">
        <v>1</v>
      </c>
      <c r="E61" s="34" t="n">
        <v>1</v>
      </c>
      <c r="F61" s="25" t="n">
        <v>2</v>
      </c>
      <c r="G61" s="23" t="n">
        <v>3</v>
      </c>
      <c r="H61" s="34" t="n">
        <v>1</v>
      </c>
      <c r="I61" s="34" t="n">
        <v>1</v>
      </c>
      <c r="J61" s="25" t="n">
        <v>2</v>
      </c>
      <c r="K61" s="23" t="n">
        <v>3</v>
      </c>
      <c r="L61" s="25" t="n">
        <v>2</v>
      </c>
      <c r="M61" s="25" t="n">
        <v>2</v>
      </c>
      <c r="N61" s="25" t="n">
        <v>2</v>
      </c>
      <c r="O61" s="25" t="n">
        <v>2</v>
      </c>
      <c r="P61" s="34" t="n">
        <v>1</v>
      </c>
      <c r="Q61" s="25" t="n">
        <v>2</v>
      </c>
      <c r="R61" s="34" t="n">
        <v>1</v>
      </c>
      <c r="S61" s="25" t="n">
        <v>2</v>
      </c>
      <c r="T61" s="34" t="n">
        <v>1</v>
      </c>
      <c r="U61" s="34" t="n">
        <v>1</v>
      </c>
      <c r="V61" s="34" t="n">
        <v>1</v>
      </c>
      <c r="W61" s="25" t="n">
        <v>2</v>
      </c>
      <c r="X61" s="25" t="n">
        <v>2</v>
      </c>
      <c r="Y61" s="25" t="n">
        <v>2</v>
      </c>
      <c r="Z61" s="25" t="n">
        <v>2</v>
      </c>
      <c r="AA61" s="26" t="n">
        <f aca="false">ROUND(AVERAGE(D61:M61)*0.25+AVERAGE(N61:Q61)*0.2+AVERAGE(R61:V61)*0.3+AVERAGE(W61:Z61)*0.25,1)</f>
        <v>1.7</v>
      </c>
      <c r="AB61" s="31" t="s">
        <v>680</v>
      </c>
      <c r="AC61" s="32" t="s">
        <v>681</v>
      </c>
      <c r="AD61" s="32" t="s">
        <v>682</v>
      </c>
      <c r="AE61" s="32" t="s">
        <v>683</v>
      </c>
      <c r="AF61" s="32" t="s">
        <v>684</v>
      </c>
      <c r="AG61" s="32" t="s">
        <v>685</v>
      </c>
      <c r="AH61" s="32" t="s">
        <v>686</v>
      </c>
      <c r="AI61" s="32" t="s">
        <v>71</v>
      </c>
      <c r="AJ61" s="32" t="s">
        <v>687</v>
      </c>
      <c r="AK61" s="32" t="s">
        <v>688</v>
      </c>
      <c r="AL61" s="32" t="s">
        <v>254</v>
      </c>
      <c r="AM61" s="32" t="s">
        <v>61</v>
      </c>
    </row>
    <row r="62" customFormat="false" ht="37.5" hidden="false" customHeight="true" outlineLevel="0" collapsed="false">
      <c r="A62" s="17" t="s">
        <v>689</v>
      </c>
      <c r="B62" s="17" t="s">
        <v>376</v>
      </c>
      <c r="C62" s="17" t="s">
        <v>690</v>
      </c>
      <c r="D62" s="23" t="n">
        <v>3</v>
      </c>
      <c r="E62" s="25" t="n">
        <v>2</v>
      </c>
      <c r="F62" s="25" t="n">
        <v>2</v>
      </c>
      <c r="G62" s="25" t="n">
        <v>2</v>
      </c>
      <c r="H62" s="23" t="n">
        <v>3</v>
      </c>
      <c r="I62" s="34" t="n">
        <v>1</v>
      </c>
      <c r="J62" s="23" t="n">
        <v>3</v>
      </c>
      <c r="K62" s="25" t="n">
        <v>2</v>
      </c>
      <c r="L62" s="23" t="n">
        <v>3</v>
      </c>
      <c r="M62" s="25" t="n">
        <v>2</v>
      </c>
      <c r="N62" s="25" t="n">
        <v>2</v>
      </c>
      <c r="O62" s="25" t="n">
        <v>2</v>
      </c>
      <c r="P62" s="23" t="n">
        <v>3</v>
      </c>
      <c r="Q62" s="25" t="n">
        <v>2</v>
      </c>
      <c r="R62" s="34" t="n">
        <v>1</v>
      </c>
      <c r="S62" s="25" t="n">
        <v>2</v>
      </c>
      <c r="T62" s="34" t="n">
        <v>1</v>
      </c>
      <c r="U62" s="34" t="n">
        <v>1</v>
      </c>
      <c r="V62" s="34" t="n">
        <v>1</v>
      </c>
      <c r="W62" s="23" t="n">
        <v>3</v>
      </c>
      <c r="X62" s="23" t="n">
        <v>3</v>
      </c>
      <c r="Y62" s="23" t="n">
        <v>3</v>
      </c>
      <c r="Z62" s="23" t="n">
        <v>3</v>
      </c>
      <c r="AA62" s="26" t="n">
        <f aca="false">ROUND(AVERAGE(D62:M62)*0.25+AVERAGE(N62:Q62)*0.2+AVERAGE(R62:V62)*0.3+AVERAGE(W62:Z62)*0.25,1)</f>
        <v>2.1</v>
      </c>
      <c r="AB62" s="27" t="s">
        <v>691</v>
      </c>
      <c r="AC62" s="28" t="s">
        <v>692</v>
      </c>
      <c r="AD62" s="28" t="s">
        <v>693</v>
      </c>
      <c r="AE62" s="28" t="s">
        <v>694</v>
      </c>
      <c r="AF62" s="28" t="s">
        <v>695</v>
      </c>
      <c r="AG62" s="28" t="s">
        <v>696</v>
      </c>
      <c r="AH62" s="28" t="s">
        <v>697</v>
      </c>
      <c r="AI62" s="28" t="s">
        <v>71</v>
      </c>
      <c r="AJ62" s="28" t="s">
        <v>385</v>
      </c>
      <c r="AK62" s="28" t="s">
        <v>698</v>
      </c>
      <c r="AL62" s="28" t="s">
        <v>74</v>
      </c>
      <c r="AM62" s="28" t="s">
        <v>61</v>
      </c>
    </row>
    <row r="63" customFormat="false" ht="37.5" hidden="false" customHeight="true" outlineLevel="0" collapsed="false">
      <c r="A63" s="29" t="s">
        <v>699</v>
      </c>
      <c r="B63" s="29" t="s">
        <v>700</v>
      </c>
      <c r="C63" s="29" t="s">
        <v>701</v>
      </c>
      <c r="D63" s="25" t="n">
        <v>2</v>
      </c>
      <c r="E63" s="23" t="n">
        <v>3</v>
      </c>
      <c r="F63" s="23" t="n">
        <v>3</v>
      </c>
      <c r="G63" s="23" t="n">
        <v>3</v>
      </c>
      <c r="H63" s="25" t="n">
        <v>2</v>
      </c>
      <c r="I63" s="25" t="n">
        <v>2</v>
      </c>
      <c r="J63" s="23" t="n">
        <v>3</v>
      </c>
      <c r="K63" s="23" t="n">
        <v>3</v>
      </c>
      <c r="L63" s="23" t="n">
        <v>3</v>
      </c>
      <c r="M63" s="23" t="n">
        <v>3</v>
      </c>
      <c r="N63" s="23" t="n">
        <v>3</v>
      </c>
      <c r="O63" s="23" t="n">
        <v>3</v>
      </c>
      <c r="P63" s="23" t="n">
        <v>3</v>
      </c>
      <c r="Q63" s="23" t="n">
        <v>3</v>
      </c>
      <c r="R63" s="25" t="n">
        <v>2</v>
      </c>
      <c r="S63" s="23" t="n">
        <v>3</v>
      </c>
      <c r="T63" s="25" t="n">
        <v>2</v>
      </c>
      <c r="U63" s="25" t="n">
        <v>2</v>
      </c>
      <c r="V63" s="23" t="n">
        <v>3</v>
      </c>
      <c r="W63" s="24" t="n">
        <v>4</v>
      </c>
      <c r="X63" s="24" t="n">
        <v>4</v>
      </c>
      <c r="Y63" s="24" t="n">
        <v>4</v>
      </c>
      <c r="Z63" s="24" t="n">
        <v>4</v>
      </c>
      <c r="AA63" s="26" t="n">
        <f aca="false">ROUND(AVERAGE(D63:M63)*0.25+AVERAGE(N63:Q63)*0.2+AVERAGE(R63:V63)*0.3+AVERAGE(W63:Z63)*0.25,1)</f>
        <v>3</v>
      </c>
      <c r="AB63" s="31" t="s">
        <v>702</v>
      </c>
      <c r="AC63" s="32" t="s">
        <v>703</v>
      </c>
      <c r="AD63" s="32" t="s">
        <v>704</v>
      </c>
      <c r="AE63" s="32" t="s">
        <v>705</v>
      </c>
      <c r="AF63" s="32" t="s">
        <v>706</v>
      </c>
      <c r="AG63" s="32" t="s">
        <v>707</v>
      </c>
      <c r="AH63" s="32" t="s">
        <v>708</v>
      </c>
      <c r="AI63" s="32" t="s">
        <v>71</v>
      </c>
      <c r="AJ63" s="32" t="s">
        <v>709</v>
      </c>
      <c r="AK63" s="32" t="s">
        <v>434</v>
      </c>
      <c r="AL63" s="32" t="s">
        <v>74</v>
      </c>
      <c r="AM63" s="32" t="s">
        <v>61</v>
      </c>
    </row>
    <row r="64" customFormat="false" ht="15" hidden="false" customHeight="true" outlineLevel="0" collapsed="false">
      <c r="M64" s="36"/>
    </row>
    <row r="65" customFormat="false" ht="15" hidden="false" customHeight="true" outlineLevel="0" collapsed="false">
      <c r="M65" s="37"/>
    </row>
    <row r="66" customFormat="false" ht="15" hidden="false" customHeight="true" outlineLevel="0" collapsed="false">
      <c r="M66" s="36"/>
    </row>
    <row r="67" customFormat="false" ht="15" hidden="false" customHeight="true" outlineLevel="0" collapsed="false">
      <c r="M67" s="37"/>
    </row>
    <row r="68" customFormat="false" ht="15" hidden="false" customHeight="true" outlineLevel="0" collapsed="false">
      <c r="M68" s="36"/>
    </row>
    <row r="69" customFormat="false" ht="15" hidden="false" customHeight="true" outlineLevel="0" collapsed="false">
      <c r="M69" s="37"/>
    </row>
    <row r="70" customFormat="false" ht="15" hidden="false" customHeight="true" outlineLevel="0" collapsed="false">
      <c r="M70" s="36"/>
    </row>
    <row r="71" customFormat="false" ht="15" hidden="false" customHeight="true" outlineLevel="0" collapsed="false">
      <c r="M71" s="37"/>
    </row>
    <row r="72" customFormat="false" ht="15" hidden="false" customHeight="true" outlineLevel="0" collapsed="false">
      <c r="M72" s="36"/>
    </row>
    <row r="73" customFormat="false" ht="15" hidden="false" customHeight="true" outlineLevel="0" collapsed="false">
      <c r="M73" s="37"/>
    </row>
    <row r="74" customFormat="false" ht="15" hidden="false" customHeight="true" outlineLevel="0" collapsed="false">
      <c r="M74" s="36"/>
    </row>
    <row r="75" customFormat="false" ht="15" hidden="false" customHeight="true" outlineLevel="0" collapsed="false">
      <c r="M75" s="37"/>
    </row>
    <row r="76" customFormat="false" ht="15" hidden="false" customHeight="true" outlineLevel="0" collapsed="false">
      <c r="M76" s="36"/>
    </row>
    <row r="77" customFormat="false" ht="15" hidden="false" customHeight="true" outlineLevel="0" collapsed="false">
      <c r="M77" s="37"/>
    </row>
    <row r="78" customFormat="false" ht="15" hidden="false" customHeight="true" outlineLevel="0" collapsed="false">
      <c r="M78" s="36"/>
    </row>
    <row r="79" customFormat="false" ht="15" hidden="false" customHeight="true" outlineLevel="0" collapsed="false">
      <c r="M79" s="37"/>
    </row>
  </sheetData>
  <mergeCells count="6">
    <mergeCell ref="A1:AF1"/>
    <mergeCell ref="A2:C2"/>
    <mergeCell ref="D2:M2"/>
    <mergeCell ref="N2:Q2"/>
    <mergeCell ref="R2:V2"/>
    <mergeCell ref="W2:Z2"/>
  </mergeCells>
  <dataValidations count="1">
    <dataValidation allowBlank="false" error="Vul een score in van 1 t/m 5." errorStyle="stop" errorTitle="Ongeldige score" operator="between" showDropDown="false" showErrorMessage="true" showInputMessage="false" sqref="D4:T5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42"/>
  </cols>
  <sheetData>
    <row r="1" customFormat="false" ht="30" hidden="false" customHeight="true" outlineLevel="0" collapsed="false">
      <c r="A1" s="38" t="s">
        <v>710</v>
      </c>
      <c r="B1" s="38"/>
      <c r="C1" s="38"/>
    </row>
    <row r="2" customFormat="false" ht="19.5" hidden="false" customHeight="true" outlineLevel="0" collapsed="false">
      <c r="A2" s="39" t="s">
        <v>711</v>
      </c>
      <c r="B2" s="39"/>
      <c r="C2" s="39"/>
    </row>
    <row r="3" customFormat="false" ht="19.5" hidden="false" customHeight="true" outlineLevel="0" collapsed="false">
      <c r="A3" s="40" t="s">
        <v>712</v>
      </c>
      <c r="B3" s="41" t="s">
        <v>713</v>
      </c>
      <c r="C3" s="40" t="s">
        <v>714</v>
      </c>
    </row>
    <row r="4" customFormat="false" ht="19.5" hidden="false" customHeight="true" outlineLevel="0" collapsed="false">
      <c r="A4" s="28" t="s">
        <v>715</v>
      </c>
      <c r="B4" s="28" t="s">
        <v>716</v>
      </c>
      <c r="C4" s="28" t="s">
        <v>717</v>
      </c>
    </row>
    <row r="5" customFormat="false" ht="19.5" hidden="false" customHeight="true" outlineLevel="0" collapsed="false">
      <c r="A5" s="32" t="s">
        <v>718</v>
      </c>
      <c r="B5" s="32" t="s">
        <v>719</v>
      </c>
      <c r="C5" s="32" t="s">
        <v>720</v>
      </c>
    </row>
    <row r="6" customFormat="false" ht="19.5" hidden="false" customHeight="true" outlineLevel="0" collapsed="false">
      <c r="A6" s="28" t="s">
        <v>721</v>
      </c>
      <c r="B6" s="28" t="s">
        <v>722</v>
      </c>
      <c r="C6" s="28" t="s">
        <v>723</v>
      </c>
    </row>
    <row r="7" customFormat="false" ht="19.5" hidden="false" customHeight="true" outlineLevel="0" collapsed="false">
      <c r="A7" s="32" t="s">
        <v>724</v>
      </c>
      <c r="B7" s="32" t="s">
        <v>716</v>
      </c>
      <c r="C7" s="32" t="s">
        <v>725</v>
      </c>
    </row>
    <row r="8" customFormat="false" ht="19.5" hidden="false" customHeight="true" outlineLevel="0" collapsed="false">
      <c r="A8" s="42"/>
      <c r="B8" s="42"/>
      <c r="C8" s="42"/>
    </row>
    <row r="9" customFormat="false" ht="19.5" hidden="false" customHeight="true" outlineLevel="0" collapsed="false">
      <c r="A9" s="43" t="s">
        <v>726</v>
      </c>
      <c r="B9" s="43"/>
      <c r="C9" s="43"/>
    </row>
    <row r="10" customFormat="false" ht="19.5" hidden="false" customHeight="true" outlineLevel="0" collapsed="false">
      <c r="A10" s="40" t="s">
        <v>727</v>
      </c>
      <c r="B10" s="41" t="s">
        <v>728</v>
      </c>
      <c r="C10" s="40" t="s">
        <v>729</v>
      </c>
    </row>
    <row r="11" customFormat="false" ht="19.5" hidden="false" customHeight="true" outlineLevel="0" collapsed="false">
      <c r="A11" s="32" t="s">
        <v>730</v>
      </c>
      <c r="B11" s="32" t="s">
        <v>731</v>
      </c>
      <c r="C11" s="32" t="s">
        <v>732</v>
      </c>
    </row>
    <row r="12" customFormat="false" ht="19.5" hidden="false" customHeight="true" outlineLevel="0" collapsed="false">
      <c r="A12" s="28" t="s">
        <v>733</v>
      </c>
      <c r="B12" s="28" t="s">
        <v>734</v>
      </c>
      <c r="C12" s="28" t="s">
        <v>735</v>
      </c>
    </row>
    <row r="13" customFormat="false" ht="19.5" hidden="false" customHeight="true" outlineLevel="0" collapsed="false">
      <c r="A13" s="32" t="s">
        <v>736</v>
      </c>
      <c r="B13" s="32" t="s">
        <v>737</v>
      </c>
      <c r="C13" s="32" t="s">
        <v>738</v>
      </c>
    </row>
    <row r="14" customFormat="false" ht="19.5" hidden="false" customHeight="true" outlineLevel="0" collapsed="false">
      <c r="A14" s="42"/>
      <c r="B14" s="42"/>
      <c r="C14" s="42"/>
    </row>
    <row r="15" customFormat="false" ht="19.5" hidden="false" customHeight="true" outlineLevel="0" collapsed="false">
      <c r="A15" s="44" t="s">
        <v>739</v>
      </c>
      <c r="B15" s="44"/>
      <c r="C15" s="44"/>
    </row>
    <row r="16" customFormat="false" ht="19.5" hidden="false" customHeight="true" outlineLevel="0" collapsed="false">
      <c r="A16" s="40" t="s">
        <v>740</v>
      </c>
      <c r="B16" s="41" t="s">
        <v>741</v>
      </c>
      <c r="C16" s="40" t="s">
        <v>742</v>
      </c>
    </row>
    <row r="17" customFormat="false" ht="19.5" hidden="false" customHeight="true" outlineLevel="0" collapsed="false">
      <c r="A17" s="40" t="s">
        <v>743</v>
      </c>
      <c r="B17" s="41" t="s">
        <v>741</v>
      </c>
      <c r="C17" s="40" t="s">
        <v>744</v>
      </c>
    </row>
    <row r="18" customFormat="false" ht="19.5" hidden="false" customHeight="true" outlineLevel="0" collapsed="false">
      <c r="A18" s="40" t="s">
        <v>745</v>
      </c>
      <c r="B18" s="41" t="s">
        <v>741</v>
      </c>
      <c r="C18" s="40" t="s">
        <v>746</v>
      </c>
    </row>
    <row r="19" customFormat="false" ht="19.5" hidden="false" customHeight="true" outlineLevel="0" collapsed="false">
      <c r="A19" s="40" t="s">
        <v>747</v>
      </c>
      <c r="B19" s="41" t="s">
        <v>741</v>
      </c>
      <c r="C19" s="40" t="s">
        <v>748</v>
      </c>
    </row>
    <row r="20" customFormat="false" ht="19.5" hidden="false" customHeight="true" outlineLevel="0" collapsed="false">
      <c r="A20" s="40" t="s">
        <v>749</v>
      </c>
      <c r="B20" s="41" t="s">
        <v>741</v>
      </c>
      <c r="C20" s="40" t="s">
        <v>750</v>
      </c>
    </row>
    <row r="21" customFormat="false" ht="19.5" hidden="false" customHeight="true" outlineLevel="0" collapsed="false">
      <c r="A21" s="42"/>
      <c r="B21" s="42"/>
      <c r="C21" s="42"/>
    </row>
    <row r="22" customFormat="false" ht="19.5" hidden="false" customHeight="true" outlineLevel="0" collapsed="false">
      <c r="A22" s="45" t="s">
        <v>751</v>
      </c>
      <c r="B22" s="45"/>
      <c r="C22" s="45"/>
    </row>
    <row r="23" customFormat="false" ht="19.5" hidden="false" customHeight="true" outlineLevel="0" collapsed="false">
      <c r="A23" s="32" t="s">
        <v>752</v>
      </c>
      <c r="B23" s="32" t="s">
        <v>156</v>
      </c>
      <c r="C23" s="32" t="s">
        <v>753</v>
      </c>
    </row>
    <row r="24" customFormat="false" ht="19.5" hidden="false" customHeight="true" outlineLevel="0" collapsed="false">
      <c r="A24" s="28" t="s">
        <v>754</v>
      </c>
      <c r="B24" s="28" t="s">
        <v>74</v>
      </c>
      <c r="C24" s="28" t="s">
        <v>755</v>
      </c>
    </row>
    <row r="25" customFormat="false" ht="19.5" hidden="false" customHeight="true" outlineLevel="0" collapsed="false">
      <c r="A25" s="32" t="s">
        <v>756</v>
      </c>
      <c r="B25" s="32" t="s">
        <v>71</v>
      </c>
      <c r="C25" s="32" t="s">
        <v>757</v>
      </c>
    </row>
    <row r="26" customFormat="false" ht="19.5" hidden="false" customHeight="true" outlineLevel="0" collapsed="false">
      <c r="A26" s="28" t="s">
        <v>758</v>
      </c>
      <c r="B26" s="28" t="s">
        <v>759</v>
      </c>
      <c r="C26" s="28" t="s">
        <v>760</v>
      </c>
    </row>
    <row r="27" customFormat="false" ht="19.5" hidden="false" customHeight="true" outlineLevel="0" collapsed="false">
      <c r="A27" s="42"/>
      <c r="B27" s="42"/>
      <c r="C27" s="42"/>
    </row>
    <row r="28" customFormat="false" ht="19.5" hidden="false" customHeight="true" outlineLevel="0" collapsed="false">
      <c r="A28" s="46" t="s">
        <v>761</v>
      </c>
      <c r="B28" s="46"/>
      <c r="C28" s="46"/>
    </row>
    <row r="29" customFormat="false" ht="19.5" hidden="false" customHeight="true" outlineLevel="0" collapsed="false">
      <c r="A29" s="32" t="s">
        <v>762</v>
      </c>
      <c r="B29" s="32" t="s">
        <v>763</v>
      </c>
      <c r="C29" s="32" t="s">
        <v>764</v>
      </c>
    </row>
    <row r="30" customFormat="false" ht="19.5" hidden="false" customHeight="true" outlineLevel="0" collapsed="false">
      <c r="A30" s="28" t="s">
        <v>765</v>
      </c>
      <c r="B30" s="28" t="s">
        <v>766</v>
      </c>
      <c r="C30" s="28" t="s">
        <v>767</v>
      </c>
    </row>
    <row r="31" customFormat="false" ht="19.5" hidden="false" customHeight="true" outlineLevel="0" collapsed="false">
      <c r="A31" s="32" t="s">
        <v>768</v>
      </c>
      <c r="B31" s="32" t="s">
        <v>769</v>
      </c>
      <c r="C31" s="32" t="s">
        <v>770</v>
      </c>
    </row>
    <row r="32" customFormat="false" ht="19.5" hidden="false" customHeight="true" outlineLevel="0" collapsed="false">
      <c r="A32" s="28" t="s">
        <v>771</v>
      </c>
      <c r="B32" s="28" t="s">
        <v>772</v>
      </c>
      <c r="C32" s="28" t="s">
        <v>773</v>
      </c>
    </row>
    <row r="33" customFormat="false" ht="19.5" hidden="false" customHeight="true" outlineLevel="0" collapsed="false">
      <c r="A33" s="42"/>
      <c r="B33" s="42"/>
      <c r="C33" s="42"/>
    </row>
    <row r="34" customFormat="false" ht="19.5" hidden="false" customHeight="true" outlineLevel="0" collapsed="false">
      <c r="A34" s="47" t="s">
        <v>774</v>
      </c>
      <c r="B34" s="47"/>
      <c r="C34" s="47"/>
    </row>
    <row r="35" customFormat="false" ht="19.5" hidden="false" customHeight="true" outlineLevel="0" collapsed="false">
      <c r="A35" s="42"/>
      <c r="B35" s="42"/>
      <c r="C35" s="42" t="s">
        <v>775</v>
      </c>
    </row>
    <row r="36" customFormat="false" ht="19.5" hidden="false" customHeight="true" outlineLevel="0" collapsed="false">
      <c r="A36" s="42"/>
      <c r="B36" s="42"/>
      <c r="C36" s="42" t="s">
        <v>776</v>
      </c>
    </row>
    <row r="37" customFormat="false" ht="19.5" hidden="false" customHeight="true" outlineLevel="0" collapsed="false">
      <c r="A37" s="42"/>
      <c r="B37" s="42"/>
      <c r="C37" s="42"/>
    </row>
    <row r="38" customFormat="false" ht="19.5" hidden="false" customHeight="true" outlineLevel="0" collapsed="false">
      <c r="A38" s="47" t="s">
        <v>777</v>
      </c>
      <c r="B38" s="47"/>
      <c r="C38" s="47"/>
    </row>
    <row r="39" customFormat="false" ht="19.5" hidden="false" customHeight="true" outlineLevel="0" collapsed="false">
      <c r="A39" s="42"/>
      <c r="B39" s="42"/>
      <c r="C39" s="42" t="s">
        <v>778</v>
      </c>
    </row>
    <row r="40" customFormat="false" ht="19.5" hidden="false" customHeight="true" outlineLevel="0" collapsed="false">
      <c r="A40" s="42"/>
      <c r="B40" s="42"/>
      <c r="C40" s="42" t="s">
        <v>779</v>
      </c>
    </row>
    <row r="41" customFormat="false" ht="19.5" hidden="false" customHeight="true" outlineLevel="0" collapsed="false">
      <c r="A41" s="42"/>
      <c r="B41" s="42"/>
      <c r="C41" s="42" t="s">
        <v>780</v>
      </c>
    </row>
    <row r="42" customFormat="false" ht="19.5" hidden="false" customHeight="true" outlineLevel="0" collapsed="false">
      <c r="A42" s="42"/>
      <c r="B42" s="42"/>
      <c r="C42" s="42" t="s">
        <v>781</v>
      </c>
    </row>
  </sheetData>
  <mergeCells count="8">
    <mergeCell ref="A1:C1"/>
    <mergeCell ref="A2:C2"/>
    <mergeCell ref="A9:C9"/>
    <mergeCell ref="A15:C15"/>
    <mergeCell ref="A22:C22"/>
    <mergeCell ref="A28:C28"/>
    <mergeCell ref="A34:C34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6" min="3" style="1" width="8"/>
    <col collapsed="false" customWidth="true" hidden="false" outlineLevel="0" max="7" min="7" style="1" width="10"/>
    <col collapsed="false" customWidth="true" hidden="false" outlineLevel="0" max="8" min="8" style="1" width="55"/>
  </cols>
  <sheetData>
    <row r="1" customFormat="false" ht="31.5" hidden="false" customHeight="true" outlineLevel="0" collapsed="false">
      <c r="A1" s="38" t="s">
        <v>782</v>
      </c>
      <c r="B1" s="38"/>
      <c r="C1" s="38"/>
      <c r="D1" s="38"/>
      <c r="E1" s="38"/>
      <c r="F1" s="38"/>
      <c r="G1" s="38"/>
      <c r="H1" s="38"/>
    </row>
    <row r="2" customFormat="false" ht="27.75" hidden="false" customHeight="true" outlineLevel="0" collapsed="false">
      <c r="A2" s="48" t="s">
        <v>783</v>
      </c>
      <c r="B2" s="48" t="s">
        <v>8</v>
      </c>
      <c r="C2" s="48" t="s">
        <v>784</v>
      </c>
      <c r="D2" s="48" t="s">
        <v>785</v>
      </c>
      <c r="E2" s="48" t="s">
        <v>786</v>
      </c>
      <c r="F2" s="48" t="s">
        <v>787</v>
      </c>
      <c r="G2" s="48" t="s">
        <v>788</v>
      </c>
      <c r="H2" s="48" t="s">
        <v>789</v>
      </c>
    </row>
    <row r="3" customFormat="false" ht="21.75" hidden="false" customHeight="true" outlineLevel="0" collapsed="false">
      <c r="A3" s="49" t="s">
        <v>790</v>
      </c>
      <c r="B3" s="49"/>
      <c r="C3" s="49"/>
      <c r="D3" s="49"/>
      <c r="E3" s="49"/>
      <c r="F3" s="49"/>
      <c r="G3" s="49"/>
      <c r="H3" s="49"/>
    </row>
    <row r="4" customFormat="false" ht="25.5" hidden="false" customHeight="true" outlineLevel="0" collapsed="false">
      <c r="A4" s="17"/>
      <c r="B4" s="17" t="s">
        <v>75</v>
      </c>
      <c r="C4" s="34" t="n">
        <v>4.5</v>
      </c>
      <c r="D4" s="25" t="n">
        <v>3.9</v>
      </c>
      <c r="E4" s="34" t="n">
        <v>4.8</v>
      </c>
      <c r="F4" s="34" t="n">
        <v>5</v>
      </c>
      <c r="G4" s="12" t="s">
        <v>791</v>
      </c>
      <c r="H4" s="27" t="s">
        <v>79</v>
      </c>
    </row>
    <row r="5" customFormat="false" ht="25.5" hidden="false" customHeight="true" outlineLevel="0" collapsed="false">
      <c r="A5" s="29"/>
      <c r="B5" s="29" t="s">
        <v>333</v>
      </c>
      <c r="C5" s="34" t="n">
        <v>4.7</v>
      </c>
      <c r="D5" s="25" t="n">
        <v>4.1</v>
      </c>
      <c r="E5" s="34" t="n">
        <v>5</v>
      </c>
      <c r="F5" s="34" t="n">
        <v>5</v>
      </c>
      <c r="G5" s="12" t="s">
        <v>791</v>
      </c>
      <c r="H5" s="31" t="s">
        <v>792</v>
      </c>
    </row>
    <row r="6" customFormat="false" ht="25.5" hidden="false" customHeight="true" outlineLevel="0" collapsed="false">
      <c r="A6" s="17"/>
      <c r="B6" s="17" t="s">
        <v>109</v>
      </c>
      <c r="C6" s="34" t="n">
        <v>4.6</v>
      </c>
      <c r="D6" s="25" t="n">
        <v>3.7</v>
      </c>
      <c r="E6" s="34" t="n">
        <v>5</v>
      </c>
      <c r="F6" s="34" t="n">
        <v>5</v>
      </c>
      <c r="G6" s="12" t="s">
        <v>791</v>
      </c>
      <c r="H6" s="27" t="s">
        <v>793</v>
      </c>
    </row>
    <row r="7" customFormat="false" ht="25.5" hidden="false" customHeight="true" outlineLevel="0" collapsed="false">
      <c r="A7" s="29"/>
      <c r="B7" s="29" t="s">
        <v>99</v>
      </c>
      <c r="C7" s="25" t="n">
        <v>4.2</v>
      </c>
      <c r="D7" s="25" t="n">
        <v>3.9</v>
      </c>
      <c r="E7" s="25" t="n">
        <v>4.2</v>
      </c>
      <c r="F7" s="34" t="n">
        <v>4.8</v>
      </c>
      <c r="G7" s="12" t="s">
        <v>791</v>
      </c>
      <c r="H7" s="31" t="s">
        <v>794</v>
      </c>
    </row>
    <row r="8" customFormat="false" ht="25.5" hidden="false" customHeight="true" outlineLevel="0" collapsed="false">
      <c r="A8" s="17"/>
      <c r="B8" s="17" t="s">
        <v>424</v>
      </c>
      <c r="C8" s="25" t="n">
        <v>4.3</v>
      </c>
      <c r="D8" s="25" t="n">
        <v>3.9</v>
      </c>
      <c r="E8" s="25" t="n">
        <v>4.2</v>
      </c>
      <c r="F8" s="34" t="n">
        <v>4.8</v>
      </c>
      <c r="G8" s="12" t="s">
        <v>791</v>
      </c>
      <c r="H8" s="27" t="s">
        <v>795</v>
      </c>
    </row>
    <row r="9" customFormat="false" ht="25.5" hidden="false" customHeight="true" outlineLevel="0" collapsed="false">
      <c r="A9" s="29"/>
      <c r="B9" s="29" t="s">
        <v>87</v>
      </c>
      <c r="C9" s="25" t="n">
        <v>4.3</v>
      </c>
      <c r="D9" s="25" t="n">
        <v>3.7</v>
      </c>
      <c r="E9" s="34" t="n">
        <v>5</v>
      </c>
      <c r="F9" s="34" t="n">
        <v>4.8</v>
      </c>
      <c r="G9" s="12" t="s">
        <v>791</v>
      </c>
      <c r="H9" s="31" t="s">
        <v>796</v>
      </c>
    </row>
    <row r="10" customFormat="false" ht="19.5" hidden="false" customHeight="true" outlineLevel="0" collapsed="false">
      <c r="A10" s="50"/>
      <c r="B10" s="50" t="s">
        <v>797</v>
      </c>
      <c r="C10" s="51" t="n">
        <v>4.4</v>
      </c>
      <c r="D10" s="51" t="n">
        <v>3.9</v>
      </c>
      <c r="E10" s="51" t="n">
        <v>4.7</v>
      </c>
      <c r="F10" s="51" t="n">
        <v>4.9</v>
      </c>
      <c r="G10" s="50"/>
      <c r="H10" s="50"/>
    </row>
    <row r="12" customFormat="false" ht="21.75" hidden="false" customHeight="true" outlineLevel="0" collapsed="false">
      <c r="A12" s="52" t="s">
        <v>798</v>
      </c>
      <c r="B12" s="52"/>
      <c r="C12" s="52"/>
      <c r="D12" s="52"/>
      <c r="E12" s="52"/>
      <c r="F12" s="52"/>
      <c r="G12" s="52"/>
      <c r="H12" s="52"/>
    </row>
    <row r="13" customFormat="false" ht="25.5" hidden="false" customHeight="true" outlineLevel="0" collapsed="false">
      <c r="A13" s="29"/>
      <c r="B13" s="29" t="s">
        <v>309</v>
      </c>
      <c r="C13" s="25" t="n">
        <v>4.3</v>
      </c>
      <c r="D13" s="23" t="n">
        <v>2.9</v>
      </c>
      <c r="E13" s="34" t="n">
        <v>5</v>
      </c>
      <c r="F13" s="34" t="n">
        <v>4.8</v>
      </c>
      <c r="G13" s="12" t="s">
        <v>791</v>
      </c>
      <c r="H13" s="31" t="s">
        <v>799</v>
      </c>
    </row>
    <row r="14" customFormat="false" ht="25.5" hidden="false" customHeight="true" outlineLevel="0" collapsed="false">
      <c r="A14" s="17"/>
      <c r="B14" s="17" t="s">
        <v>289</v>
      </c>
      <c r="C14" s="25" t="n">
        <v>4.2</v>
      </c>
      <c r="D14" s="23" t="n">
        <v>3.4</v>
      </c>
      <c r="E14" s="34" t="n">
        <v>4.5</v>
      </c>
      <c r="F14" s="34" t="n">
        <v>4.5</v>
      </c>
      <c r="G14" s="12" t="s">
        <v>791</v>
      </c>
      <c r="H14" s="27" t="s">
        <v>800</v>
      </c>
    </row>
    <row r="15" customFormat="false" ht="25.5" hidden="false" customHeight="true" outlineLevel="0" collapsed="false">
      <c r="A15" s="29"/>
      <c r="B15" s="29" t="s">
        <v>354</v>
      </c>
      <c r="C15" s="25" t="n">
        <v>3.9</v>
      </c>
      <c r="D15" s="23" t="n">
        <v>3</v>
      </c>
      <c r="E15" s="34" t="n">
        <v>4.5</v>
      </c>
      <c r="F15" s="25" t="n">
        <v>4.2</v>
      </c>
      <c r="G15" s="53" t="s">
        <v>801</v>
      </c>
      <c r="H15" s="31" t="s">
        <v>802</v>
      </c>
    </row>
    <row r="16" customFormat="false" ht="25.5" hidden="false" customHeight="true" outlineLevel="0" collapsed="false">
      <c r="A16" s="17"/>
      <c r="B16" s="17" t="s">
        <v>457</v>
      </c>
      <c r="C16" s="23" t="n">
        <v>2.5</v>
      </c>
      <c r="D16" s="24" t="n">
        <v>1.7</v>
      </c>
      <c r="E16" s="23" t="n">
        <v>2.5</v>
      </c>
      <c r="F16" s="25" t="n">
        <v>4.2</v>
      </c>
      <c r="G16" s="54" t="s">
        <v>803</v>
      </c>
      <c r="H16" s="27" t="s">
        <v>804</v>
      </c>
    </row>
    <row r="17" customFormat="false" ht="19.5" hidden="false" customHeight="true" outlineLevel="0" collapsed="false">
      <c r="A17" s="55"/>
      <c r="B17" s="55" t="s">
        <v>805</v>
      </c>
      <c r="C17" s="56" t="n">
        <v>3.7</v>
      </c>
      <c r="D17" s="56" t="n">
        <v>2.8</v>
      </c>
      <c r="E17" s="56" t="n">
        <v>4.1</v>
      </c>
      <c r="F17" s="56" t="n">
        <v>4.4</v>
      </c>
      <c r="G17" s="55"/>
      <c r="H17" s="55"/>
    </row>
    <row r="19" customFormat="false" ht="21.75" hidden="false" customHeight="true" outlineLevel="0" collapsed="false">
      <c r="A19" s="57" t="s">
        <v>806</v>
      </c>
      <c r="B19" s="57"/>
      <c r="C19" s="57"/>
      <c r="D19" s="57"/>
      <c r="E19" s="57"/>
      <c r="F19" s="57"/>
      <c r="G19" s="57"/>
      <c r="H19" s="57"/>
    </row>
    <row r="20" customFormat="false" ht="25.5" hidden="false" customHeight="true" outlineLevel="0" collapsed="false">
      <c r="A20" s="17"/>
      <c r="B20" s="17" t="s">
        <v>47</v>
      </c>
      <c r="C20" s="25" t="n">
        <v>3.9</v>
      </c>
      <c r="D20" s="25" t="n">
        <v>3.7</v>
      </c>
      <c r="E20" s="25" t="n">
        <v>3.8</v>
      </c>
      <c r="F20" s="34" t="n">
        <v>4.5</v>
      </c>
      <c r="G20" s="12" t="s">
        <v>791</v>
      </c>
      <c r="H20" s="27" t="s">
        <v>807</v>
      </c>
    </row>
    <row r="21" customFormat="false" ht="25.5" hidden="false" customHeight="true" outlineLevel="0" collapsed="false">
      <c r="A21" s="29"/>
      <c r="B21" s="29" t="s">
        <v>62</v>
      </c>
      <c r="C21" s="23" t="n">
        <v>3.4</v>
      </c>
      <c r="D21" s="23" t="n">
        <v>3</v>
      </c>
      <c r="E21" s="25" t="n">
        <v>3.5</v>
      </c>
      <c r="F21" s="25" t="n">
        <v>3.8</v>
      </c>
      <c r="G21" s="53" t="s">
        <v>801</v>
      </c>
      <c r="H21" s="31" t="s">
        <v>808</v>
      </c>
    </row>
    <row r="22" customFormat="false" ht="19.5" hidden="false" customHeight="true" outlineLevel="0" collapsed="false">
      <c r="A22" s="58"/>
      <c r="B22" s="58" t="s">
        <v>809</v>
      </c>
      <c r="C22" s="59" t="n">
        <v>3.6</v>
      </c>
      <c r="D22" s="59" t="n">
        <v>3.4</v>
      </c>
      <c r="E22" s="59" t="n">
        <v>3.6</v>
      </c>
      <c r="F22" s="59" t="n">
        <v>4.2</v>
      </c>
      <c r="G22" s="58"/>
      <c r="H22" s="58"/>
    </row>
    <row r="24" customFormat="false" ht="21.75" hidden="false" customHeight="true" outlineLevel="0" collapsed="false">
      <c r="A24" s="60" t="s">
        <v>810</v>
      </c>
      <c r="B24" s="60"/>
      <c r="C24" s="60"/>
      <c r="D24" s="60"/>
      <c r="E24" s="60"/>
      <c r="F24" s="60"/>
      <c r="G24" s="60"/>
      <c r="H24" s="60"/>
    </row>
    <row r="25" customFormat="false" ht="25.5" hidden="false" customHeight="true" outlineLevel="0" collapsed="false">
      <c r="A25" s="29"/>
      <c r="B25" s="29" t="s">
        <v>178</v>
      </c>
      <c r="C25" s="25" t="n">
        <v>4.1</v>
      </c>
      <c r="D25" s="23" t="n">
        <v>2.7</v>
      </c>
      <c r="E25" s="34" t="n">
        <v>5</v>
      </c>
      <c r="F25" s="34" t="n">
        <v>4.5</v>
      </c>
      <c r="G25" s="61" t="s">
        <v>811</v>
      </c>
      <c r="H25" s="31" t="s">
        <v>812</v>
      </c>
    </row>
    <row r="26" customFormat="false" ht="25.5" hidden="false" customHeight="true" outlineLevel="0" collapsed="false">
      <c r="A26" s="17"/>
      <c r="B26" s="17" t="s">
        <v>157</v>
      </c>
      <c r="C26" s="25" t="n">
        <v>3.9</v>
      </c>
      <c r="D26" s="23" t="n">
        <v>2.7</v>
      </c>
      <c r="E26" s="34" t="n">
        <v>5</v>
      </c>
      <c r="F26" s="25" t="n">
        <v>4</v>
      </c>
      <c r="G26" s="12" t="s">
        <v>791</v>
      </c>
      <c r="H26" s="27" t="s">
        <v>813</v>
      </c>
    </row>
    <row r="27" customFormat="false" ht="25.5" hidden="false" customHeight="true" outlineLevel="0" collapsed="false">
      <c r="A27" s="29"/>
      <c r="B27" s="29" t="s">
        <v>169</v>
      </c>
      <c r="C27" s="25" t="n">
        <v>3.8</v>
      </c>
      <c r="D27" s="23" t="n">
        <v>2.7</v>
      </c>
      <c r="E27" s="25" t="n">
        <v>4.2</v>
      </c>
      <c r="F27" s="25" t="n">
        <v>4</v>
      </c>
      <c r="G27" s="12" t="s">
        <v>791</v>
      </c>
      <c r="H27" s="31" t="s">
        <v>814</v>
      </c>
    </row>
    <row r="28" customFormat="false" ht="25.5" hidden="false" customHeight="true" outlineLevel="0" collapsed="false">
      <c r="A28" s="17"/>
      <c r="B28" s="17" t="s">
        <v>435</v>
      </c>
      <c r="C28" s="25" t="n">
        <v>3.7</v>
      </c>
      <c r="D28" s="23" t="n">
        <v>2.6</v>
      </c>
      <c r="E28" s="25" t="n">
        <v>4.2</v>
      </c>
      <c r="F28" s="25" t="n">
        <v>3.8</v>
      </c>
      <c r="G28" s="53" t="s">
        <v>801</v>
      </c>
      <c r="H28" s="27" t="s">
        <v>815</v>
      </c>
    </row>
    <row r="29" customFormat="false" ht="25.5" hidden="false" customHeight="true" outlineLevel="0" collapsed="false">
      <c r="A29" s="29"/>
      <c r="B29" s="29" t="s">
        <v>300</v>
      </c>
      <c r="C29" s="25" t="n">
        <v>3.6</v>
      </c>
      <c r="D29" s="24" t="n">
        <v>2.4</v>
      </c>
      <c r="E29" s="25" t="n">
        <v>3.5</v>
      </c>
      <c r="F29" s="25" t="n">
        <v>3.5</v>
      </c>
      <c r="G29" s="53" t="s">
        <v>801</v>
      </c>
      <c r="H29" s="31" t="s">
        <v>816</v>
      </c>
    </row>
    <row r="30" customFormat="false" ht="25.5" hidden="false" customHeight="true" outlineLevel="0" collapsed="false">
      <c r="A30" s="17"/>
      <c r="B30" s="17" t="s">
        <v>188</v>
      </c>
      <c r="C30" s="25" t="n">
        <v>3.5</v>
      </c>
      <c r="D30" s="23" t="n">
        <v>2.7</v>
      </c>
      <c r="E30" s="25" t="n">
        <v>3.5</v>
      </c>
      <c r="F30" s="25" t="n">
        <v>3.5</v>
      </c>
      <c r="G30" s="53" t="s">
        <v>801</v>
      </c>
      <c r="H30" s="27" t="s">
        <v>817</v>
      </c>
    </row>
    <row r="31" customFormat="false" ht="19.5" hidden="false" customHeight="true" outlineLevel="0" collapsed="false">
      <c r="A31" s="62"/>
      <c r="B31" s="62" t="s">
        <v>797</v>
      </c>
      <c r="C31" s="63" t="n">
        <v>3.8</v>
      </c>
      <c r="D31" s="63" t="n">
        <v>2.6</v>
      </c>
      <c r="E31" s="63" t="n">
        <v>4.2</v>
      </c>
      <c r="F31" s="63" t="n">
        <v>3.9</v>
      </c>
      <c r="G31" s="62"/>
      <c r="H31" s="62"/>
    </row>
    <row r="33" customFormat="false" ht="21.75" hidden="false" customHeight="true" outlineLevel="0" collapsed="false">
      <c r="A33" s="64" t="s">
        <v>818</v>
      </c>
      <c r="B33" s="64"/>
      <c r="C33" s="64"/>
      <c r="D33" s="64"/>
      <c r="E33" s="64"/>
      <c r="F33" s="64"/>
      <c r="G33" s="64"/>
      <c r="H33" s="64"/>
    </row>
    <row r="34" customFormat="false" ht="25.5" hidden="false" customHeight="true" outlineLevel="0" collapsed="false">
      <c r="A34" s="17"/>
      <c r="B34" s="17" t="s">
        <v>365</v>
      </c>
      <c r="C34" s="25" t="n">
        <v>3.9</v>
      </c>
      <c r="D34" s="23" t="n">
        <v>3.4</v>
      </c>
      <c r="E34" s="34" t="n">
        <v>5</v>
      </c>
      <c r="F34" s="25" t="n">
        <v>4</v>
      </c>
      <c r="G34" s="61" t="s">
        <v>811</v>
      </c>
      <c r="H34" s="27" t="s">
        <v>819</v>
      </c>
    </row>
    <row r="35" customFormat="false" ht="25.5" hidden="false" customHeight="true" outlineLevel="0" collapsed="false">
      <c r="A35" s="29"/>
      <c r="B35" s="29" t="s">
        <v>122</v>
      </c>
      <c r="C35" s="25" t="n">
        <v>3.9</v>
      </c>
      <c r="D35" s="25" t="n">
        <v>3.6</v>
      </c>
      <c r="E35" s="25" t="n">
        <v>4.2</v>
      </c>
      <c r="F35" s="34" t="n">
        <v>4.5</v>
      </c>
      <c r="G35" s="12" t="s">
        <v>791</v>
      </c>
      <c r="H35" s="31" t="s">
        <v>820</v>
      </c>
    </row>
    <row r="36" customFormat="false" ht="25.5" hidden="false" customHeight="true" outlineLevel="0" collapsed="false">
      <c r="A36" s="17"/>
      <c r="B36" s="17" t="s">
        <v>412</v>
      </c>
      <c r="C36" s="25" t="n">
        <v>3.8</v>
      </c>
      <c r="D36" s="23" t="n">
        <v>3.2</v>
      </c>
      <c r="E36" s="25" t="n">
        <v>3.5</v>
      </c>
      <c r="F36" s="25" t="n">
        <v>4</v>
      </c>
      <c r="G36" s="53" t="s">
        <v>801</v>
      </c>
      <c r="H36" s="27" t="s">
        <v>821</v>
      </c>
    </row>
    <row r="37" customFormat="false" ht="25.5" hidden="false" customHeight="true" outlineLevel="0" collapsed="false">
      <c r="A37" s="29"/>
      <c r="B37" s="29" t="s">
        <v>134</v>
      </c>
      <c r="C37" s="23" t="n">
        <v>3.4</v>
      </c>
      <c r="D37" s="23" t="n">
        <v>2.9</v>
      </c>
      <c r="E37" s="23" t="n">
        <v>3.2</v>
      </c>
      <c r="F37" s="25" t="n">
        <v>3.8</v>
      </c>
      <c r="G37" s="53" t="s">
        <v>801</v>
      </c>
      <c r="H37" s="31" t="s">
        <v>822</v>
      </c>
    </row>
    <row r="38" customFormat="false" ht="25.5" hidden="false" customHeight="true" outlineLevel="0" collapsed="false">
      <c r="A38" s="17"/>
      <c r="B38" s="17" t="s">
        <v>145</v>
      </c>
      <c r="C38" s="23" t="n">
        <v>2.8</v>
      </c>
      <c r="D38" s="23" t="n">
        <v>2.7</v>
      </c>
      <c r="E38" s="23" t="n">
        <v>2.5</v>
      </c>
      <c r="F38" s="23" t="n">
        <v>3</v>
      </c>
      <c r="G38" s="54" t="s">
        <v>803</v>
      </c>
      <c r="H38" s="27" t="s">
        <v>823</v>
      </c>
    </row>
    <row r="39" customFormat="false" ht="19.5" hidden="false" customHeight="true" outlineLevel="0" collapsed="false">
      <c r="A39" s="65"/>
      <c r="B39" s="65" t="s">
        <v>824</v>
      </c>
      <c r="C39" s="66" t="n">
        <v>3.6</v>
      </c>
      <c r="D39" s="66" t="n">
        <v>3.2</v>
      </c>
      <c r="E39" s="66" t="n">
        <v>3.7</v>
      </c>
      <c r="F39" s="66" t="n">
        <v>3.9</v>
      </c>
      <c r="G39" s="65"/>
      <c r="H39" s="65"/>
    </row>
    <row r="41" customFormat="false" ht="21.75" hidden="false" customHeight="true" outlineLevel="0" collapsed="false">
      <c r="A41" s="67" t="s">
        <v>825</v>
      </c>
      <c r="B41" s="67"/>
      <c r="C41" s="67"/>
      <c r="D41" s="67"/>
      <c r="E41" s="67"/>
      <c r="F41" s="67"/>
      <c r="G41" s="67"/>
      <c r="H41" s="67"/>
    </row>
    <row r="42" customFormat="false" ht="25.5" hidden="false" customHeight="true" outlineLevel="0" collapsed="false">
      <c r="A42" s="17"/>
      <c r="B42" s="17" t="s">
        <v>197</v>
      </c>
      <c r="C42" s="34" t="n">
        <v>4.6</v>
      </c>
      <c r="D42" s="25" t="n">
        <v>4.1</v>
      </c>
      <c r="E42" s="34" t="n">
        <v>5</v>
      </c>
      <c r="F42" s="34" t="n">
        <v>4.8</v>
      </c>
      <c r="G42" s="12" t="s">
        <v>791</v>
      </c>
      <c r="H42" s="27" t="s">
        <v>826</v>
      </c>
    </row>
    <row r="43" customFormat="false" ht="25.5" hidden="false" customHeight="true" outlineLevel="0" collapsed="false">
      <c r="A43" s="29"/>
      <c r="B43" s="29" t="s">
        <v>400</v>
      </c>
      <c r="C43" s="25" t="n">
        <v>3.9</v>
      </c>
      <c r="D43" s="23" t="n">
        <v>3.4</v>
      </c>
      <c r="E43" s="25" t="n">
        <v>4.2</v>
      </c>
      <c r="F43" s="25" t="n">
        <v>4</v>
      </c>
      <c r="G43" s="12" t="s">
        <v>791</v>
      </c>
      <c r="H43" s="31" t="s">
        <v>827</v>
      </c>
    </row>
    <row r="44" customFormat="false" ht="25.5" hidden="false" customHeight="true" outlineLevel="0" collapsed="false">
      <c r="A44" s="17"/>
      <c r="B44" s="17" t="s">
        <v>209</v>
      </c>
      <c r="C44" s="25" t="n">
        <v>3.8</v>
      </c>
      <c r="D44" s="23" t="n">
        <v>3.1</v>
      </c>
      <c r="E44" s="34" t="n">
        <v>4.5</v>
      </c>
      <c r="F44" s="25" t="n">
        <v>3.8</v>
      </c>
      <c r="G44" s="53" t="s">
        <v>801</v>
      </c>
      <c r="H44" s="27" t="s">
        <v>828</v>
      </c>
    </row>
    <row r="45" customFormat="false" ht="25.5" hidden="false" customHeight="true" outlineLevel="0" collapsed="false">
      <c r="A45" s="29"/>
      <c r="B45" s="29" t="s">
        <v>344</v>
      </c>
      <c r="C45" s="25" t="n">
        <v>3.8</v>
      </c>
      <c r="D45" s="23" t="n">
        <v>3.1</v>
      </c>
      <c r="E45" s="25" t="n">
        <v>4.2</v>
      </c>
      <c r="F45" s="25" t="n">
        <v>3.8</v>
      </c>
      <c r="G45" s="53" t="s">
        <v>801</v>
      </c>
      <c r="H45" s="31" t="s">
        <v>829</v>
      </c>
    </row>
    <row r="46" customFormat="false" ht="25.5" hidden="false" customHeight="true" outlineLevel="0" collapsed="false">
      <c r="A46" s="17"/>
      <c r="B46" s="17" t="s">
        <v>220</v>
      </c>
      <c r="C46" s="25" t="n">
        <v>3.5</v>
      </c>
      <c r="D46" s="23" t="n">
        <v>2.9</v>
      </c>
      <c r="E46" s="23" t="n">
        <v>3.2</v>
      </c>
      <c r="F46" s="25" t="n">
        <v>3.8</v>
      </c>
      <c r="G46" s="53" t="s">
        <v>801</v>
      </c>
      <c r="H46" s="27" t="s">
        <v>830</v>
      </c>
    </row>
    <row r="47" customFormat="false" ht="19.5" hidden="false" customHeight="true" outlineLevel="0" collapsed="false">
      <c r="A47" s="68"/>
      <c r="B47" s="68" t="s">
        <v>824</v>
      </c>
      <c r="C47" s="69" t="n">
        <v>3.9</v>
      </c>
      <c r="D47" s="69" t="n">
        <v>3.3</v>
      </c>
      <c r="E47" s="69" t="n">
        <v>4.2</v>
      </c>
      <c r="F47" s="69" t="n">
        <v>4</v>
      </c>
      <c r="G47" s="68"/>
      <c r="H47" s="68"/>
    </row>
    <row r="49" customFormat="false" ht="21.75" hidden="false" customHeight="true" outlineLevel="0" collapsed="false">
      <c r="A49" s="70" t="s">
        <v>831</v>
      </c>
      <c r="B49" s="70"/>
      <c r="C49" s="70"/>
      <c r="D49" s="70"/>
      <c r="E49" s="70"/>
      <c r="F49" s="70"/>
      <c r="G49" s="70"/>
      <c r="H49" s="70"/>
    </row>
    <row r="50" customFormat="false" ht="25.5" hidden="false" customHeight="true" outlineLevel="0" collapsed="false">
      <c r="A50" s="17"/>
      <c r="B50" s="17" t="s">
        <v>255</v>
      </c>
      <c r="C50" s="34" t="n">
        <v>4.7</v>
      </c>
      <c r="D50" s="34" t="n">
        <v>4.6</v>
      </c>
      <c r="E50" s="34" t="n">
        <v>5</v>
      </c>
      <c r="F50" s="34" t="n">
        <v>5</v>
      </c>
      <c r="G50" s="12" t="s">
        <v>791</v>
      </c>
      <c r="H50" s="27" t="s">
        <v>832</v>
      </c>
    </row>
    <row r="51" customFormat="false" ht="25.5" hidden="false" customHeight="true" outlineLevel="0" collapsed="false">
      <c r="A51" s="29"/>
      <c r="B51" s="29" t="s">
        <v>445</v>
      </c>
      <c r="C51" s="25" t="n">
        <v>4</v>
      </c>
      <c r="D51" s="25" t="n">
        <v>3.9</v>
      </c>
      <c r="E51" s="25" t="n">
        <v>4</v>
      </c>
      <c r="F51" s="25" t="n">
        <v>4.2</v>
      </c>
      <c r="G51" s="12" t="s">
        <v>791</v>
      </c>
      <c r="H51" s="31" t="s">
        <v>833</v>
      </c>
    </row>
    <row r="52" customFormat="false" ht="25.5" hidden="false" customHeight="true" outlineLevel="0" collapsed="false">
      <c r="A52" s="17"/>
      <c r="B52" s="17" t="s">
        <v>388</v>
      </c>
      <c r="C52" s="25" t="n">
        <v>3.6</v>
      </c>
      <c r="D52" s="23" t="n">
        <v>3.2</v>
      </c>
      <c r="E52" s="25" t="n">
        <v>3.5</v>
      </c>
      <c r="F52" s="25" t="n">
        <v>3.8</v>
      </c>
      <c r="G52" s="53" t="s">
        <v>801</v>
      </c>
      <c r="H52" s="27" t="s">
        <v>834</v>
      </c>
    </row>
    <row r="53" customFormat="false" ht="25.5" hidden="false" customHeight="true" outlineLevel="0" collapsed="false">
      <c r="A53" s="29"/>
      <c r="B53" s="29" t="s">
        <v>231</v>
      </c>
      <c r="C53" s="23" t="n">
        <v>3.3</v>
      </c>
      <c r="D53" s="23" t="n">
        <v>3.1</v>
      </c>
      <c r="E53" s="23" t="n">
        <v>2.8</v>
      </c>
      <c r="F53" s="23" t="n">
        <v>3.2</v>
      </c>
      <c r="G53" s="53" t="s">
        <v>801</v>
      </c>
      <c r="H53" s="31" t="s">
        <v>835</v>
      </c>
    </row>
    <row r="54" customFormat="false" ht="25.5" hidden="false" customHeight="true" outlineLevel="0" collapsed="false">
      <c r="A54" s="17"/>
      <c r="B54" s="17" t="s">
        <v>243</v>
      </c>
      <c r="C54" s="23" t="n">
        <v>2.5</v>
      </c>
      <c r="D54" s="24" t="n">
        <v>2</v>
      </c>
      <c r="E54" s="24" t="n">
        <v>2</v>
      </c>
      <c r="F54" s="23" t="n">
        <v>3</v>
      </c>
      <c r="G54" s="54" t="s">
        <v>803</v>
      </c>
      <c r="H54" s="27" t="s">
        <v>836</v>
      </c>
    </row>
    <row r="55" customFormat="false" ht="19.5" hidden="false" customHeight="true" outlineLevel="0" collapsed="false">
      <c r="A55" s="71"/>
      <c r="B55" s="71" t="s">
        <v>824</v>
      </c>
      <c r="C55" s="72" t="n">
        <v>3.6</v>
      </c>
      <c r="D55" s="72" t="n">
        <v>3.4</v>
      </c>
      <c r="E55" s="72" t="n">
        <v>3.5</v>
      </c>
      <c r="F55" s="72" t="n">
        <v>3.8</v>
      </c>
      <c r="G55" s="71"/>
      <c r="H55" s="71"/>
    </row>
    <row r="57" customFormat="false" ht="21.75" hidden="false" customHeight="true" outlineLevel="0" collapsed="false">
      <c r="A57" s="73" t="s">
        <v>837</v>
      </c>
      <c r="B57" s="73"/>
      <c r="C57" s="73"/>
      <c r="D57" s="73"/>
      <c r="E57" s="73"/>
      <c r="F57" s="73"/>
      <c r="G57" s="73"/>
      <c r="H57" s="73"/>
    </row>
    <row r="58" customFormat="false" ht="25.5" hidden="false" customHeight="true" outlineLevel="0" collapsed="false">
      <c r="A58" s="17"/>
      <c r="B58" s="17" t="s">
        <v>266</v>
      </c>
      <c r="C58" s="25" t="n">
        <v>4.2</v>
      </c>
      <c r="D58" s="25" t="n">
        <v>3.6</v>
      </c>
      <c r="E58" s="25" t="n">
        <v>4.2</v>
      </c>
      <c r="F58" s="34" t="n">
        <v>4.5</v>
      </c>
      <c r="G58" s="12" t="s">
        <v>791</v>
      </c>
      <c r="H58" s="27" t="s">
        <v>838</v>
      </c>
    </row>
    <row r="59" customFormat="false" ht="25.5" hidden="false" customHeight="true" outlineLevel="0" collapsed="false">
      <c r="A59" s="29"/>
      <c r="B59" s="29" t="s">
        <v>479</v>
      </c>
      <c r="C59" s="25" t="n">
        <v>3.8</v>
      </c>
      <c r="D59" s="23" t="n">
        <v>3.4</v>
      </c>
      <c r="E59" s="25" t="n">
        <v>3.8</v>
      </c>
      <c r="F59" s="25" t="n">
        <v>4.2</v>
      </c>
      <c r="G59" s="53" t="s">
        <v>801</v>
      </c>
      <c r="H59" s="31" t="s">
        <v>839</v>
      </c>
    </row>
    <row r="60" customFormat="false" ht="25.5" hidden="false" customHeight="true" outlineLevel="0" collapsed="false">
      <c r="A60" s="17"/>
      <c r="B60" s="17" t="s">
        <v>278</v>
      </c>
      <c r="C60" s="25" t="n">
        <v>3.7</v>
      </c>
      <c r="D60" s="23" t="n">
        <v>3.1</v>
      </c>
      <c r="E60" s="25" t="n">
        <v>3.8</v>
      </c>
      <c r="F60" s="25" t="n">
        <v>4</v>
      </c>
      <c r="G60" s="53" t="s">
        <v>801</v>
      </c>
      <c r="H60" s="27" t="s">
        <v>840</v>
      </c>
    </row>
    <row r="61" customFormat="false" ht="19.5" hidden="false" customHeight="true" outlineLevel="0" collapsed="false">
      <c r="A61" s="74"/>
      <c r="B61" s="74" t="s">
        <v>841</v>
      </c>
      <c r="C61" s="75" t="n">
        <v>3.9</v>
      </c>
      <c r="D61" s="75" t="n">
        <v>3.4</v>
      </c>
      <c r="E61" s="75" t="n">
        <v>3.9</v>
      </c>
      <c r="F61" s="75" t="n">
        <v>4.2</v>
      </c>
      <c r="G61" s="74"/>
      <c r="H61" s="74"/>
    </row>
    <row r="63" customFormat="false" ht="21.75" hidden="false" customHeight="true" outlineLevel="0" collapsed="false">
      <c r="A63" s="76" t="s">
        <v>842</v>
      </c>
      <c r="B63" s="76"/>
      <c r="C63" s="76"/>
      <c r="D63" s="76"/>
      <c r="E63" s="76"/>
      <c r="F63" s="76"/>
      <c r="G63" s="76"/>
      <c r="H63" s="76"/>
    </row>
    <row r="64" customFormat="false" ht="25.5" hidden="false" customHeight="true" outlineLevel="0" collapsed="false">
      <c r="A64" s="17"/>
      <c r="B64" s="17" t="s">
        <v>375</v>
      </c>
      <c r="C64" s="24" t="n">
        <v>2.3</v>
      </c>
      <c r="D64" s="24" t="n">
        <v>2</v>
      </c>
      <c r="E64" s="24" t="n">
        <v>2</v>
      </c>
      <c r="F64" s="23" t="n">
        <v>3</v>
      </c>
      <c r="G64" s="54" t="s">
        <v>803</v>
      </c>
      <c r="H64" s="27" t="s">
        <v>843</v>
      </c>
    </row>
    <row r="65" customFormat="false" ht="25.5" hidden="false" customHeight="true" outlineLevel="0" collapsed="false">
      <c r="A65" s="29"/>
      <c r="B65" s="29" t="s">
        <v>468</v>
      </c>
      <c r="C65" s="23" t="n">
        <v>2.5</v>
      </c>
      <c r="D65" s="24" t="n">
        <v>2.4</v>
      </c>
      <c r="E65" s="24" t="n">
        <v>2</v>
      </c>
      <c r="F65" s="23" t="n">
        <v>3</v>
      </c>
      <c r="G65" s="54" t="s">
        <v>803</v>
      </c>
      <c r="H65" s="31" t="s">
        <v>844</v>
      </c>
    </row>
    <row r="66" customFormat="false" ht="19.5" hidden="false" customHeight="true" outlineLevel="0" collapsed="false">
      <c r="A66" s="77"/>
      <c r="B66" s="77" t="s">
        <v>809</v>
      </c>
      <c r="C66" s="78" t="n">
        <v>2.4</v>
      </c>
      <c r="D66" s="78" t="n">
        <v>2.2</v>
      </c>
      <c r="E66" s="78" t="n">
        <v>2</v>
      </c>
      <c r="F66" s="78" t="n">
        <v>3</v>
      </c>
      <c r="G66" s="77"/>
      <c r="H66" s="77"/>
    </row>
    <row r="68" customFormat="false" ht="21.75" hidden="false" customHeight="true" outlineLevel="0" collapsed="false">
      <c r="A68" s="79" t="s">
        <v>845</v>
      </c>
      <c r="B68" s="79"/>
      <c r="C68" s="79"/>
      <c r="D68" s="79"/>
      <c r="E68" s="79"/>
      <c r="F68" s="79"/>
      <c r="G68" s="79"/>
      <c r="H68" s="79"/>
    </row>
    <row r="69" customFormat="false" ht="25.5" hidden="false" customHeight="true" outlineLevel="0" collapsed="false">
      <c r="A69" s="29"/>
      <c r="B69" s="29" t="s">
        <v>321</v>
      </c>
      <c r="C69" s="25" t="n">
        <v>4.3</v>
      </c>
      <c r="D69" s="23" t="n">
        <v>3.4</v>
      </c>
      <c r="E69" s="34" t="n">
        <v>4.5</v>
      </c>
      <c r="F69" s="34" t="n">
        <v>5</v>
      </c>
      <c r="G69" s="12" t="s">
        <v>791</v>
      </c>
      <c r="H69" s="31" t="s">
        <v>846</v>
      </c>
    </row>
    <row r="70" customFormat="false" ht="19.5" hidden="false" customHeight="true" outlineLevel="0" collapsed="false">
      <c r="A70" s="80"/>
      <c r="B70" s="80" t="s">
        <v>847</v>
      </c>
      <c r="C70" s="81" t="n">
        <v>4.3</v>
      </c>
      <c r="D70" s="81" t="n">
        <v>3.4</v>
      </c>
      <c r="E70" s="81" t="n">
        <v>4.5</v>
      </c>
      <c r="F70" s="81" t="n">
        <v>5</v>
      </c>
      <c r="G70" s="80"/>
      <c r="H70" s="80"/>
    </row>
    <row r="73" customFormat="false" ht="25.5" hidden="false" customHeight="true" outlineLevel="0" collapsed="false">
      <c r="A73" s="82" t="s">
        <v>848</v>
      </c>
      <c r="B73" s="82"/>
      <c r="C73" s="82"/>
      <c r="D73" s="82"/>
      <c r="E73" s="82"/>
      <c r="F73" s="82"/>
      <c r="G73" s="82"/>
      <c r="H73" s="82"/>
    </row>
    <row r="74" customFormat="false" ht="21.75" hidden="false" customHeight="true" outlineLevel="0" collapsed="false">
      <c r="A74" s="83" t="s">
        <v>849</v>
      </c>
      <c r="B74" s="84" t="s">
        <v>850</v>
      </c>
      <c r="C74" s="84"/>
      <c r="D74" s="84"/>
      <c r="E74" s="84"/>
      <c r="F74" s="84"/>
      <c r="G74" s="84"/>
      <c r="H74" s="84"/>
    </row>
    <row r="75" customFormat="false" ht="21.75" hidden="false" customHeight="true" outlineLevel="0" collapsed="false">
      <c r="A75" s="83" t="s">
        <v>851</v>
      </c>
      <c r="B75" s="85" t="s">
        <v>852</v>
      </c>
      <c r="C75" s="85"/>
      <c r="D75" s="85"/>
      <c r="E75" s="85"/>
      <c r="F75" s="85"/>
      <c r="G75" s="85"/>
      <c r="H75" s="85"/>
    </row>
    <row r="76" customFormat="false" ht="21.75" hidden="false" customHeight="true" outlineLevel="0" collapsed="false">
      <c r="A76" s="83" t="s">
        <v>853</v>
      </c>
      <c r="B76" s="84" t="s">
        <v>854</v>
      </c>
      <c r="C76" s="84"/>
      <c r="D76" s="84"/>
      <c r="E76" s="84"/>
      <c r="F76" s="84"/>
      <c r="G76" s="84"/>
      <c r="H76" s="84"/>
    </row>
    <row r="77" customFormat="false" ht="21.75" hidden="false" customHeight="true" outlineLevel="0" collapsed="false">
      <c r="A77" s="83" t="s">
        <v>855</v>
      </c>
      <c r="B77" s="85" t="s">
        <v>856</v>
      </c>
      <c r="C77" s="85"/>
      <c r="D77" s="85"/>
      <c r="E77" s="85"/>
      <c r="F77" s="85"/>
      <c r="G77" s="85"/>
      <c r="H77" s="85"/>
    </row>
    <row r="78" customFormat="false" ht="21.75" hidden="false" customHeight="true" outlineLevel="0" collapsed="false">
      <c r="A78" s="83" t="s">
        <v>857</v>
      </c>
      <c r="B78" s="84" t="s">
        <v>858</v>
      </c>
      <c r="C78" s="84"/>
      <c r="D78" s="84"/>
      <c r="E78" s="84"/>
      <c r="F78" s="84"/>
      <c r="G78" s="84"/>
      <c r="H78" s="84"/>
    </row>
    <row r="79" customFormat="false" ht="21.75" hidden="false" customHeight="true" outlineLevel="0" collapsed="false">
      <c r="A79" s="83" t="s">
        <v>859</v>
      </c>
      <c r="B79" s="85" t="s">
        <v>860</v>
      </c>
      <c r="C79" s="85"/>
      <c r="D79" s="85"/>
      <c r="E79" s="85"/>
      <c r="F79" s="85"/>
      <c r="G79" s="85"/>
      <c r="H79" s="85"/>
    </row>
    <row r="80" customFormat="false" ht="21.75" hidden="false" customHeight="true" outlineLevel="0" collapsed="false">
      <c r="A80" s="83" t="s">
        <v>861</v>
      </c>
      <c r="B80" s="84" t="s">
        <v>862</v>
      </c>
      <c r="C80" s="84"/>
      <c r="D80" s="84"/>
      <c r="E80" s="84"/>
      <c r="F80" s="84"/>
      <c r="G80" s="84"/>
      <c r="H80" s="84"/>
    </row>
  </sheetData>
  <mergeCells count="19">
    <mergeCell ref="A1:H1"/>
    <mergeCell ref="A3:H3"/>
    <mergeCell ref="A12:H12"/>
    <mergeCell ref="A19:H19"/>
    <mergeCell ref="A24:H24"/>
    <mergeCell ref="A33:H33"/>
    <mergeCell ref="A41:H41"/>
    <mergeCell ref="A49:H49"/>
    <mergeCell ref="A57:H57"/>
    <mergeCell ref="A63:H63"/>
    <mergeCell ref="A68:H68"/>
    <mergeCell ref="A73:H73"/>
    <mergeCell ref="B74:H74"/>
    <mergeCell ref="B75:H75"/>
    <mergeCell ref="B76:H76"/>
    <mergeCell ref="B77:H77"/>
    <mergeCell ref="B78:H78"/>
    <mergeCell ref="B79:H79"/>
    <mergeCell ref="B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4"/>
  </cols>
  <sheetData>
    <row r="1" customFormat="false" ht="30" hidden="false" customHeight="true" outlineLevel="0" collapsed="false">
      <c r="A1" s="38" t="s">
        <v>863</v>
      </c>
      <c r="B1" s="38"/>
      <c r="C1" s="38"/>
      <c r="D1" s="38"/>
      <c r="E1" s="38"/>
    </row>
    <row r="2" customFormat="false" ht="19.5" hidden="false" customHeight="true" outlineLevel="0" collapsed="false">
      <c r="A2" s="86" t="s">
        <v>864</v>
      </c>
      <c r="B2" s="86"/>
      <c r="C2" s="86"/>
      <c r="D2" s="86"/>
      <c r="E2" s="86"/>
    </row>
    <row r="3" customFormat="false" ht="27.75" hidden="false" customHeight="true" outlineLevel="0" collapsed="false">
      <c r="A3" s="87" t="s">
        <v>8</v>
      </c>
      <c r="B3" s="88" t="s">
        <v>34</v>
      </c>
      <c r="C3" s="51" t="s">
        <v>865</v>
      </c>
      <c r="D3" s="59" t="s">
        <v>866</v>
      </c>
      <c r="E3" s="63" t="s">
        <v>867</v>
      </c>
    </row>
    <row r="4" customFormat="false" ht="21.75" hidden="false" customHeight="true" outlineLevel="0" collapsed="false">
      <c r="A4" s="89" t="str">
        <f aca="false">IFERROR('Quiet Scout Analysemodel'!A4,"")</f>
        <v>funda.nl</v>
      </c>
      <c r="B4" s="90" t="n">
        <f aca="false">IFERROR('Quiet Scout Analysemodel'!U4,"")</f>
        <v>2</v>
      </c>
      <c r="C4" s="90" t="n">
        <f aca="false">IFERROR(IF('Quiet Scout Analysemodel'!A4="","",ROUND(AVERAGE('Quiet Scout Analysemodel'!D4:L4),1)),"")</f>
        <v>3.9</v>
      </c>
      <c r="D4" s="90" t="n">
        <f aca="false">IFERROR(IF('Quiet Scout Analysemodel'!A4="","",ROUND(AVERAGE('Quiet Scout Analysemodel'!M4:P4),1)),"")</f>
        <v>4</v>
      </c>
      <c r="E4" s="90" t="n">
        <f aca="false">IFERROR(IF('Quiet Scout Analysemodel'!A4="","",ROUND(AVERAGE('Quiet Scout Analysemodel'!Q4:T4),1)),"")</f>
        <v>3.3</v>
      </c>
    </row>
    <row r="5" customFormat="false" ht="21.75" hidden="false" customHeight="true" outlineLevel="0" collapsed="false">
      <c r="A5" s="91" t="str">
        <f aca="false">IFERROR('Quiet Scout Analysemodel'!A5,"")</f>
        <v>pararius.nl</v>
      </c>
      <c r="B5" s="92" t="n">
        <f aca="false">IFERROR('Quiet Scout Analysemodel'!U5,"")</f>
        <v>3</v>
      </c>
      <c r="C5" s="92" t="n">
        <f aca="false">IFERROR(IF('Quiet Scout Analysemodel'!A5="","",ROUND(AVERAGE('Quiet Scout Analysemodel'!D5:L5),1)),"")</f>
        <v>3.1</v>
      </c>
      <c r="D5" s="92" t="n">
        <f aca="false">IFERROR(IF('Quiet Scout Analysemodel'!A5="","",ROUND(AVERAGE('Quiet Scout Analysemodel'!M5:P5),1)),"")</f>
        <v>3.3</v>
      </c>
      <c r="E5" s="92" t="n">
        <f aca="false">IFERROR(IF('Quiet Scout Analysemodel'!A5="","",ROUND(AVERAGE('Quiet Scout Analysemodel'!Q5:T5),1)),"")</f>
        <v>2.8</v>
      </c>
    </row>
    <row r="6" customFormat="false" ht="21.75" hidden="false" customHeight="true" outlineLevel="0" collapsed="false">
      <c r="A6" s="89" t="str">
        <f aca="false">IFERROR('Quiet Scout Analysemodel'!A6,"")</f>
        <v>independer.nl</v>
      </c>
      <c r="B6" s="90" t="n">
        <f aca="false">IFERROR('Quiet Scout Analysemodel'!U6,"")</f>
        <v>3</v>
      </c>
      <c r="C6" s="90" t="n">
        <f aca="false">IFERROR(IF('Quiet Scout Analysemodel'!A6="","",ROUND(AVERAGE('Quiet Scout Analysemodel'!D6:L6),1)),"")</f>
        <v>3.8</v>
      </c>
      <c r="D6" s="90" t="n">
        <f aca="false">IFERROR(IF('Quiet Scout Analysemodel'!A6="","",ROUND(AVERAGE('Quiet Scout Analysemodel'!M6:P6),1)),"")</f>
        <v>4.7</v>
      </c>
      <c r="E6" s="90" t="n">
        <f aca="false">IFERROR(IF('Quiet Scout Analysemodel'!A6="","",ROUND(AVERAGE('Quiet Scout Analysemodel'!Q6:T6),1)),"")</f>
        <v>4</v>
      </c>
    </row>
    <row r="7" customFormat="false" ht="21.75" hidden="false" customHeight="true" outlineLevel="0" collapsed="false">
      <c r="A7" s="91" t="str">
        <f aca="false">IFERROR('Quiet Scout Analysemodel'!A7,"")</f>
        <v>gaslicht.com</v>
      </c>
      <c r="B7" s="92" t="n">
        <f aca="false">IFERROR('Quiet Scout Analysemodel'!U7,"")</f>
        <v>2</v>
      </c>
      <c r="C7" s="92" t="n">
        <f aca="false">IFERROR(IF('Quiet Scout Analysemodel'!A7="","",ROUND(AVERAGE('Quiet Scout Analysemodel'!D7:L7),1)),"")</f>
        <v>3.6</v>
      </c>
      <c r="D7" s="92" t="n">
        <f aca="false">IFERROR(IF('Quiet Scout Analysemodel'!A7="","",ROUND(AVERAGE('Quiet Scout Analysemodel'!M7:P7),1)),"")</f>
        <v>4.7</v>
      </c>
      <c r="E7" s="92" t="n">
        <f aca="false">IFERROR(IF('Quiet Scout Analysemodel'!A7="","",ROUND(AVERAGE('Quiet Scout Analysemodel'!Q7:T7),1)),"")</f>
        <v>3</v>
      </c>
    </row>
    <row r="8" customFormat="false" ht="21.75" hidden="false" customHeight="true" outlineLevel="0" collapsed="false">
      <c r="A8" s="89" t="str">
        <f aca="false">IFERROR('Quiet Scout Analysemodel'!A8,"")</f>
        <v>pricewise.nl</v>
      </c>
      <c r="B8" s="90" t="n">
        <f aca="false">IFERROR('Quiet Scout Analysemodel'!U8,"")</f>
        <v>2</v>
      </c>
      <c r="C8" s="90" t="n">
        <f aca="false">IFERROR(IF('Quiet Scout Analysemodel'!A8="","",ROUND(AVERAGE('Quiet Scout Analysemodel'!D8:L8),1)),"")</f>
        <v>3.6</v>
      </c>
      <c r="D8" s="90" t="n">
        <f aca="false">IFERROR(IF('Quiet Scout Analysemodel'!A8="","",ROUND(AVERAGE('Quiet Scout Analysemodel'!M8:P8),1)),"")</f>
        <v>4.3</v>
      </c>
      <c r="E8" s="90" t="n">
        <f aca="false">IFERROR(IF('Quiet Scout Analysemodel'!A8="","",ROUND(AVERAGE('Quiet Scout Analysemodel'!Q8:T8),1)),"")</f>
        <v>3</v>
      </c>
    </row>
    <row r="9" customFormat="false" ht="21.75" hidden="false" customHeight="true" outlineLevel="0" collapsed="false">
      <c r="A9" s="91" t="str">
        <f aca="false">IFERROR('Quiet Scout Analysemodel'!A9,"")</f>
        <v>zorgwijzer.nl</v>
      </c>
      <c r="B9" s="92" t="n">
        <f aca="false">IFERROR('Quiet Scout Analysemodel'!U9,"")</f>
        <v>3</v>
      </c>
      <c r="C9" s="92" t="n">
        <f aca="false">IFERROR(IF('Quiet Scout Analysemodel'!A9="","",ROUND(AVERAGE('Quiet Scout Analysemodel'!D9:L9),1)),"")</f>
        <v>3.8</v>
      </c>
      <c r="D9" s="92" t="n">
        <f aca="false">IFERROR(IF('Quiet Scout Analysemodel'!A9="","",ROUND(AVERAGE('Quiet Scout Analysemodel'!M9:P9),1)),"")</f>
        <v>5</v>
      </c>
      <c r="E9" s="92" t="n">
        <f aca="false">IFERROR(IF('Quiet Scout Analysemodel'!A9="","",ROUND(AVERAGE('Quiet Scout Analysemodel'!Q9:T9),1)),"")</f>
        <v>3.8</v>
      </c>
    </row>
    <row r="10" customFormat="false" ht="21.75" hidden="false" customHeight="true" outlineLevel="0" collapsed="false">
      <c r="A10" s="89" t="str">
        <f aca="false">IFERROR('Quiet Scout Analysemodel'!A10,"")</f>
        <v>nationalevacaturebank.nl</v>
      </c>
      <c r="B10" s="90" t="n">
        <f aca="false">IFERROR('Quiet Scout Analysemodel'!U10,"")</f>
        <v>4</v>
      </c>
      <c r="C10" s="90" t="n">
        <f aca="false">IFERROR(IF('Quiet Scout Analysemodel'!A10="","",ROUND(AVERAGE('Quiet Scout Analysemodel'!D10:L10),1)),"")</f>
        <v>3.6</v>
      </c>
      <c r="D10" s="90" t="n">
        <f aca="false">IFERROR(IF('Quiet Scout Analysemodel'!A10="","",ROUND(AVERAGE('Quiet Scout Analysemodel'!M10:P10),1)),"")</f>
        <v>4</v>
      </c>
      <c r="E10" s="90" t="n">
        <f aca="false">IFERROR(IF('Quiet Scout Analysemodel'!A10="","",ROUND(AVERAGE('Quiet Scout Analysemodel'!Q10:T10),1)),"")</f>
        <v>3.3</v>
      </c>
    </row>
    <row r="11" customFormat="false" ht="21.75" hidden="false" customHeight="true" outlineLevel="0" collapsed="false">
      <c r="A11" s="91" t="str">
        <f aca="false">IFERROR('Quiet Scout Analysemodel'!A11,"")</f>
        <v>indeed.nl</v>
      </c>
      <c r="B11" s="92" t="n">
        <f aca="false">IFERROR('Quiet Scout Analysemodel'!U11,"")</f>
        <v>3</v>
      </c>
      <c r="C11" s="92" t="n">
        <f aca="false">IFERROR(IF('Quiet Scout Analysemodel'!A11="","",ROUND(AVERAGE('Quiet Scout Analysemodel'!D11:L11),1)),"")</f>
        <v>3.1</v>
      </c>
      <c r="D11" s="92" t="n">
        <f aca="false">IFERROR(IF('Quiet Scout Analysemodel'!A11="","",ROUND(AVERAGE('Quiet Scout Analysemodel'!M11:P11),1)),"")</f>
        <v>3.3</v>
      </c>
      <c r="E11" s="92" t="n">
        <f aca="false">IFERROR(IF('Quiet Scout Analysemodel'!A11="","",ROUND(AVERAGE('Quiet Scout Analysemodel'!Q11:T11),1)),"")</f>
        <v>2.5</v>
      </c>
    </row>
    <row r="12" customFormat="false" ht="21.75" hidden="false" customHeight="true" outlineLevel="0" collapsed="false">
      <c r="A12" s="89" t="str">
        <f aca="false">IFERROR('Quiet Scout Analysemodel'!A12,"")</f>
        <v>werkzoeken.nl</v>
      </c>
      <c r="B12" s="90" t="n">
        <f aca="false">IFERROR('Quiet Scout Analysemodel'!U12,"")</f>
        <v>3</v>
      </c>
      <c r="C12" s="90" t="n">
        <f aca="false">IFERROR(IF('Quiet Scout Analysemodel'!A12="","",ROUND(AVERAGE('Quiet Scout Analysemodel'!D12:L12),1)),"")</f>
        <v>2.8</v>
      </c>
      <c r="D12" s="90" t="n">
        <f aca="false">IFERROR(IF('Quiet Scout Analysemodel'!A12="","",ROUND(AVERAGE('Quiet Scout Analysemodel'!M12:P12),1)),"")</f>
        <v>2.7</v>
      </c>
      <c r="E12" s="90" t="n">
        <f aca="false">IFERROR(IF('Quiet Scout Analysemodel'!A12="","",ROUND(AVERAGE('Quiet Scout Analysemodel'!Q12:T12),1)),"")</f>
        <v>2</v>
      </c>
    </row>
    <row r="13" customFormat="false" ht="21.75" hidden="false" customHeight="true" outlineLevel="0" collapsed="false">
      <c r="A13" s="91" t="str">
        <f aca="false">IFERROR('Quiet Scout Analysemodel'!A13,"")</f>
        <v>belastingdienst.nl</v>
      </c>
      <c r="B13" s="92" t="n">
        <f aca="false">IFERROR('Quiet Scout Analysemodel'!U13,"")</f>
        <v>3</v>
      </c>
      <c r="C13" s="92" t="n">
        <f aca="false">IFERROR(IF('Quiet Scout Analysemodel'!A13="","",ROUND(AVERAGE('Quiet Scout Analysemodel'!D13:L13),1)),"")</f>
        <v>3.2</v>
      </c>
      <c r="D13" s="92" t="n">
        <f aca="false">IFERROR(IF('Quiet Scout Analysemodel'!A13="","",ROUND(AVERAGE('Quiet Scout Analysemodel'!M13:P13),1)),"")</f>
        <v>4.3</v>
      </c>
      <c r="E13" s="92" t="n">
        <f aca="false">IFERROR(IF('Quiet Scout Analysemodel'!A13="","",ROUND(AVERAGE('Quiet Scout Analysemodel'!Q13:T13),1)),"")</f>
        <v>4.5</v>
      </c>
    </row>
    <row r="14" customFormat="false" ht="21.75" hidden="false" customHeight="true" outlineLevel="0" collapsed="false">
      <c r="A14" s="89" t="str">
        <f aca="false">IFERROR('Quiet Scout Analysemodel'!A14,"")</f>
        <v>duo.nl</v>
      </c>
      <c r="B14" s="90" t="n">
        <f aca="false">IFERROR('Quiet Scout Analysemodel'!U14,"")</f>
        <v>3</v>
      </c>
      <c r="C14" s="90" t="n">
        <f aca="false">IFERROR(IF('Quiet Scout Analysemodel'!A14="","",ROUND(AVERAGE('Quiet Scout Analysemodel'!D14:L14),1)),"")</f>
        <v>3.1</v>
      </c>
      <c r="D14" s="90" t="n">
        <f aca="false">IFERROR(IF('Quiet Scout Analysemodel'!A14="","",ROUND(AVERAGE('Quiet Scout Analysemodel'!M14:P14),1)),"")</f>
        <v>3.7</v>
      </c>
      <c r="E14" s="90" t="n">
        <f aca="false">IFERROR(IF('Quiet Scout Analysemodel'!A14="","",ROUND(AVERAGE('Quiet Scout Analysemodel'!Q14:T14),1)),"")</f>
        <v>3.8</v>
      </c>
    </row>
    <row r="15" customFormat="false" ht="21.75" hidden="false" customHeight="true" outlineLevel="0" collapsed="false">
      <c r="A15" s="91" t="str">
        <f aca="false">IFERROR('Quiet Scout Analysemodel'!A15,"")</f>
        <v>uwv.nl</v>
      </c>
      <c r="B15" s="92" t="n">
        <f aca="false">IFERROR('Quiet Scout Analysemodel'!U15,"")</f>
        <v>5</v>
      </c>
      <c r="C15" s="92" t="n">
        <f aca="false">IFERROR(IF('Quiet Scout Analysemodel'!A15="","",ROUND(AVERAGE('Quiet Scout Analysemodel'!D15:L15),1)),"")</f>
        <v>3.1</v>
      </c>
      <c r="D15" s="92" t="n">
        <f aca="false">IFERROR(IF('Quiet Scout Analysemodel'!A15="","",ROUND(AVERAGE('Quiet Scout Analysemodel'!M15:P15),1)),"")</f>
        <v>4.3</v>
      </c>
      <c r="E15" s="92" t="n">
        <f aca="false">IFERROR(IF('Quiet Scout Analysemodel'!A15="","",ROUND(AVERAGE('Quiet Scout Analysemodel'!Q15:T15),1)),"")</f>
        <v>4.8</v>
      </c>
    </row>
    <row r="16" customFormat="false" ht="21.75" hidden="false" customHeight="true" outlineLevel="0" collapsed="false">
      <c r="A16" s="89" t="str">
        <f aca="false">IFERROR('Quiet Scout Analysemodel'!A16,"")</f>
        <v>rijksoverheid.nl</v>
      </c>
      <c r="B16" s="90" t="n">
        <f aca="false">IFERROR('Quiet Scout Analysemodel'!U16,"")</f>
        <v>2</v>
      </c>
      <c r="C16" s="90" t="n">
        <f aca="false">IFERROR(IF('Quiet Scout Analysemodel'!A16="","",ROUND(AVERAGE('Quiet Scout Analysemodel'!D16:L16),1)),"")</f>
        <v>2.9</v>
      </c>
      <c r="D16" s="90" t="n">
        <f aca="false">IFERROR(IF('Quiet Scout Analysemodel'!A16="","",ROUND(AVERAGE('Quiet Scout Analysemodel'!M16:P16),1)),"")</f>
        <v>3.3</v>
      </c>
      <c r="E16" s="90" t="n">
        <f aca="false">IFERROR(IF('Quiet Scout Analysemodel'!A16="","",ROUND(AVERAGE('Quiet Scout Analysemodel'!Q16:T16),1)),"")</f>
        <v>2.5</v>
      </c>
    </row>
    <row r="17" customFormat="false" ht="21.75" hidden="false" customHeight="true" outlineLevel="0" collapsed="false">
      <c r="A17" s="91" t="str">
        <f aca="false">IFERROR('Quiet Scout Analysemodel'!A17,"")</f>
        <v>booking.com</v>
      </c>
      <c r="B17" s="92" t="n">
        <f aca="false">IFERROR('Quiet Scout Analysemodel'!U17,"")</f>
        <v>2</v>
      </c>
      <c r="C17" s="92" t="n">
        <f aca="false">IFERROR(IF('Quiet Scout Analysemodel'!A17="","",ROUND(AVERAGE('Quiet Scout Analysemodel'!D17:L17),1)),"")</f>
        <v>4.2</v>
      </c>
      <c r="D17" s="92" t="n">
        <f aca="false">IFERROR(IF('Quiet Scout Analysemodel'!A17="","",ROUND(AVERAGE('Quiet Scout Analysemodel'!M17:P17),1)),"")</f>
        <v>5</v>
      </c>
      <c r="E17" s="92" t="n">
        <f aca="false">IFERROR(IF('Quiet Scout Analysemodel'!A17="","",ROUND(AVERAGE('Quiet Scout Analysemodel'!Q17:T17),1)),"")</f>
        <v>3</v>
      </c>
    </row>
    <row r="18" customFormat="false" ht="21.75" hidden="false" customHeight="true" outlineLevel="0" collapsed="false">
      <c r="A18" s="89" t="str">
        <f aca="false">IFERROR('Quiet Scout Analysemodel'!A18,"")</f>
        <v>trivago.nl</v>
      </c>
      <c r="B18" s="90" t="n">
        <f aca="false">IFERROR('Quiet Scout Analysemodel'!U18,"")</f>
        <v>2</v>
      </c>
      <c r="C18" s="90" t="n">
        <f aca="false">IFERROR(IF('Quiet Scout Analysemodel'!A18="","",ROUND(AVERAGE('Quiet Scout Analysemodel'!D18:L18),1)),"")</f>
        <v>3.4</v>
      </c>
      <c r="D18" s="90" t="n">
        <f aca="false">IFERROR(IF('Quiet Scout Analysemodel'!A18="","",ROUND(AVERAGE('Quiet Scout Analysemodel'!M18:P18),1)),"")</f>
        <v>4.3</v>
      </c>
      <c r="E18" s="90" t="n">
        <f aca="false">IFERROR(IF('Quiet Scout Analysemodel'!A18="","",ROUND(AVERAGE('Quiet Scout Analysemodel'!Q18:T18),1)),"")</f>
        <v>2.5</v>
      </c>
    </row>
    <row r="19" customFormat="false" ht="21.75" hidden="false" customHeight="true" outlineLevel="0" collapsed="false">
      <c r="A19" s="91" t="str">
        <f aca="false">IFERROR('Quiet Scout Analysemodel'!A19,"")</f>
        <v>ns.nl</v>
      </c>
      <c r="B19" s="92" t="n">
        <f aca="false">IFERROR('Quiet Scout Analysemodel'!U19,"")</f>
        <v>2</v>
      </c>
      <c r="C19" s="92" t="n">
        <f aca="false">IFERROR(IF('Quiet Scout Analysemodel'!A19="","",ROUND(AVERAGE('Quiet Scout Analysemodel'!D19:L19),1)),"")</f>
        <v>2.7</v>
      </c>
      <c r="D19" s="92" t="n">
        <f aca="false">IFERROR(IF('Quiet Scout Analysemodel'!A19="","",ROUND(AVERAGE('Quiet Scout Analysemodel'!M19:P19),1)),"")</f>
        <v>3</v>
      </c>
      <c r="E19" s="92" t="n">
        <f aca="false">IFERROR(IF('Quiet Scout Analysemodel'!A19="","",ROUND(AVERAGE('Quiet Scout Analysemodel'!Q19:T19),1)),"")</f>
        <v>2.3</v>
      </c>
    </row>
    <row r="20" customFormat="false" ht="21.75" hidden="false" customHeight="true" outlineLevel="0" collapsed="false">
      <c r="A20" s="89" t="str">
        <f aca="false">IFERROR('Quiet Scout Analysemodel'!A20,"")</f>
        <v>marktplaats.nl</v>
      </c>
      <c r="B20" s="90" t="n">
        <f aca="false">IFERROR('Quiet Scout Analysemodel'!U20,"")</f>
        <v>1</v>
      </c>
      <c r="C20" s="90" t="n">
        <f aca="false">IFERROR(IF('Quiet Scout Analysemodel'!A20="","",ROUND(AVERAGE('Quiet Scout Analysemodel'!D20:L20),1)),"")</f>
        <v>3.3</v>
      </c>
      <c r="D20" s="90" t="n">
        <f aca="false">IFERROR(IF('Quiet Scout Analysemodel'!A20="","",ROUND(AVERAGE('Quiet Scout Analysemodel'!M20:P20),1)),"")</f>
        <v>2.7</v>
      </c>
      <c r="E20" s="90" t="n">
        <f aca="false">IFERROR(IF('Quiet Scout Analysemodel'!A20="","",ROUND(AVERAGE('Quiet Scout Analysemodel'!Q20:T20),1)),"")</f>
        <v>1.8</v>
      </c>
    </row>
    <row r="21" customFormat="false" ht="21.75" hidden="false" customHeight="true" outlineLevel="0" collapsed="false">
      <c r="A21" s="91" t="str">
        <f aca="false">IFERROR('Quiet Scout Analysemodel'!A21,"")</f>
        <v>bol.com</v>
      </c>
      <c r="B21" s="92" t="n">
        <f aca="false">IFERROR('Quiet Scout Analysemodel'!U21,"")</f>
        <v>1</v>
      </c>
      <c r="C21" s="92" t="n">
        <f aca="false">IFERROR(IF('Quiet Scout Analysemodel'!A21="","",ROUND(AVERAGE('Quiet Scout Analysemodel'!D21:L21),1)),"")</f>
        <v>2.1</v>
      </c>
      <c r="D21" s="92" t="n">
        <f aca="false">IFERROR(IF('Quiet Scout Analysemodel'!A21="","",ROUND(AVERAGE('Quiet Scout Analysemodel'!M21:P21),1)),"")</f>
        <v>2.3</v>
      </c>
      <c r="E21" s="92" t="n">
        <f aca="false">IFERROR(IF('Quiet Scout Analysemodel'!A21="","",ROUND(AVERAGE('Quiet Scout Analysemodel'!Q21:T21),1)),"")</f>
        <v>1.5</v>
      </c>
    </row>
    <row r="22" customFormat="false" ht="21.75" hidden="false" customHeight="true" outlineLevel="0" collapsed="false">
      <c r="A22" s="89" t="str">
        <f aca="false">IFERROR('Quiet Scout Analysemodel'!A22,"")</f>
        <v>autotrader.nl</v>
      </c>
      <c r="B22" s="90" t="n">
        <f aca="false">IFERROR('Quiet Scout Analysemodel'!U22,"")</f>
        <v>2</v>
      </c>
      <c r="C22" s="90" t="n">
        <f aca="false">IFERROR(IF('Quiet Scout Analysemodel'!A22="","",ROUND(AVERAGE('Quiet Scout Analysemodel'!D22:L22),1)),"")</f>
        <v>4.2</v>
      </c>
      <c r="D22" s="90" t="n">
        <f aca="false">IFERROR(IF('Quiet Scout Analysemodel'!A22="","",ROUND(AVERAGE('Quiet Scout Analysemodel'!M22:P22),1)),"")</f>
        <v>5</v>
      </c>
      <c r="E22" s="90" t="n">
        <f aca="false">IFERROR(IF('Quiet Scout Analysemodel'!A22="","",ROUND(AVERAGE('Quiet Scout Analysemodel'!Q22:T22),1)),"")</f>
        <v>4.3</v>
      </c>
    </row>
    <row r="23" customFormat="false" ht="21.75" hidden="false" customHeight="true" outlineLevel="0" collapsed="false">
      <c r="A23" s="91" t="str">
        <f aca="false">IFERROR('Quiet Scout Analysemodel'!A23,"")</f>
        <v>bellen.com</v>
      </c>
      <c r="B23" s="92" t="n">
        <f aca="false">IFERROR('Quiet Scout Analysemodel'!U23,"")</f>
        <v>2</v>
      </c>
      <c r="C23" s="92" t="n">
        <f aca="false">IFERROR(IF('Quiet Scout Analysemodel'!A23="","",ROUND(AVERAGE('Quiet Scout Analysemodel'!D23:L23),1)),"")</f>
        <v>3.6</v>
      </c>
      <c r="D23" s="92" t="n">
        <f aca="false">IFERROR(IF('Quiet Scout Analysemodel'!A23="","",ROUND(AVERAGE('Quiet Scout Analysemodel'!M23:P23),1)),"")</f>
        <v>4.7</v>
      </c>
      <c r="E23" s="92" t="n">
        <f aca="false">IFERROR(IF('Quiet Scout Analysemodel'!A23="","",ROUND(AVERAGE('Quiet Scout Analysemodel'!Q23:T23),1)),"")</f>
        <v>3.3</v>
      </c>
    </row>
    <row r="24" customFormat="false" ht="21.75" hidden="false" customHeight="true" outlineLevel="0" collapsed="false">
      <c r="A24" s="89" t="str">
        <f aca="false">IFERROR('Quiet Scout Analysemodel'!A24,"")</f>
        <v>mobiel.nl</v>
      </c>
      <c r="B24" s="90" t="n">
        <f aca="false">IFERROR('Quiet Scout Analysemodel'!U24,"")</f>
        <v>2</v>
      </c>
      <c r="C24" s="90" t="n">
        <f aca="false">IFERROR(IF('Quiet Scout Analysemodel'!A24="","",ROUND(AVERAGE('Quiet Scout Analysemodel'!D24:L24),1)),"")</f>
        <v>3</v>
      </c>
      <c r="D24" s="90" t="n">
        <f aca="false">IFERROR(IF('Quiet Scout Analysemodel'!A24="","",ROUND(AVERAGE('Quiet Scout Analysemodel'!M24:P24),1)),"")</f>
        <v>3.7</v>
      </c>
      <c r="E24" s="90" t="n">
        <f aca="false">IFERROR(IF('Quiet Scout Analysemodel'!A24="","",ROUND(AVERAGE('Quiet Scout Analysemodel'!Q24:T24),1)),"")</f>
        <v>3</v>
      </c>
    </row>
    <row r="25" customFormat="false" ht="21.75" hidden="false" customHeight="true" outlineLevel="0" collapsed="false">
      <c r="A25" s="91" t="str">
        <f aca="false">IFERROR('Quiet Scout Analysemodel'!A25,"")</f>
        <v>zorgkiezer.nl</v>
      </c>
      <c r="B25" s="92" t="n">
        <f aca="false">IFERROR('Quiet Scout Analysemodel'!U25,"")</f>
        <v>4</v>
      </c>
      <c r="C25" s="92" t="n">
        <f aca="false">IFERROR(IF('Quiet Scout Analysemodel'!A25="","",ROUND(AVERAGE('Quiet Scout Analysemodel'!D25:L25),1)),"")</f>
        <v>3.7</v>
      </c>
      <c r="D25" s="92" t="n">
        <f aca="false">IFERROR(IF('Quiet Scout Analysemodel'!A25="","",ROUND(AVERAGE('Quiet Scout Analysemodel'!M25:P25),1)),"")</f>
        <v>4.3</v>
      </c>
      <c r="E25" s="92" t="n">
        <f aca="false">IFERROR(IF('Quiet Scout Analysemodel'!A25="","",ROUND(AVERAGE('Quiet Scout Analysemodel'!Q25:T25),1)),"")</f>
        <v>3.5</v>
      </c>
    </row>
    <row r="26" customFormat="false" ht="21.75" hidden="false" customHeight="true" outlineLevel="0" collapsed="false">
      <c r="A26" s="89" t="str">
        <f aca="false">IFERROR('Quiet Scout Analysemodel'!A26,"")</f>
        <v>mijnoverheid.nl</v>
      </c>
      <c r="B26" s="90" t="n">
        <f aca="false">IFERROR('Quiet Scout Analysemodel'!U26,"")</f>
        <v>3</v>
      </c>
      <c r="C26" s="90" t="n">
        <f aca="false">IFERROR(IF('Quiet Scout Analysemodel'!A26="","",ROUND(AVERAGE('Quiet Scout Analysemodel'!D26:L26),1)),"")</f>
        <v>2.7</v>
      </c>
      <c r="D26" s="90" t="n">
        <f aca="false">IFERROR(IF('Quiet Scout Analysemodel'!A26="","",ROUND(AVERAGE('Quiet Scout Analysemodel'!M26:P26),1)),"")</f>
        <v>3</v>
      </c>
      <c r="E26" s="90" t="n">
        <f aca="false">IFERROR(IF('Quiet Scout Analysemodel'!A26="","",ROUND(AVERAGE('Quiet Scout Analysemodel'!Q26:T26),1)),"")</f>
        <v>3.5</v>
      </c>
    </row>
    <row r="27" customFormat="false" ht="21.75" hidden="false" customHeight="true" outlineLevel="0" collapsed="false">
      <c r="A27" s="91" t="str">
        <f aca="false">IFERROR('Quiet Scout Analysemodel'!A27,"")</f>
        <v>hypotheker.nl</v>
      </c>
      <c r="B27" s="92" t="n">
        <f aca="false">IFERROR('Quiet Scout Analysemodel'!U27,"")</f>
        <v>3</v>
      </c>
      <c r="C27" s="92" t="n">
        <f aca="false">IFERROR(IF('Quiet Scout Analysemodel'!A27="","",ROUND(AVERAGE('Quiet Scout Analysemodel'!D27:L27),1)),"")</f>
        <v>3.4</v>
      </c>
      <c r="D27" s="92" t="n">
        <f aca="false">IFERROR(IF('Quiet Scout Analysemodel'!A27="","",ROUND(AVERAGE('Quiet Scout Analysemodel'!M27:P27),1)),"")</f>
        <v>4.7</v>
      </c>
      <c r="E27" s="92" t="n">
        <f aca="false">IFERROR(IF('Quiet Scout Analysemodel'!A27="","",ROUND(AVERAGE('Quiet Scout Analysemodel'!Q27:T27),1)),"")</f>
        <v>4.8</v>
      </c>
    </row>
    <row r="28" customFormat="false" ht="21.75" hidden="false" customHeight="true" outlineLevel="0" collapsed="false">
      <c r="A28" s="89" t="str">
        <f aca="false">IFERROR('Quiet Scout Analysemodel'!A28,"")</f>
        <v>collegeduimpje.nl</v>
      </c>
      <c r="B28" s="90" t="n">
        <f aca="false">IFERROR('Quiet Scout Analysemodel'!U28,"")</f>
        <v>4</v>
      </c>
      <c r="C28" s="90" t="n">
        <f aca="false">IFERROR(IF('Quiet Scout Analysemodel'!A28="","",ROUND(AVERAGE('Quiet Scout Analysemodel'!D28:L28),1)),"")</f>
        <v>3.4</v>
      </c>
      <c r="D28" s="90" t="n">
        <f aca="false">IFERROR(IF('Quiet Scout Analysemodel'!A28="","",ROUND(AVERAGE('Quiet Scout Analysemodel'!M28:P28),1)),"")</f>
        <v>4.7</v>
      </c>
      <c r="E28" s="90" t="n">
        <f aca="false">IFERROR(IF('Quiet Scout Analysemodel'!A28="","",ROUND(AVERAGE('Quiet Scout Analysemodel'!Q28:T28),1)),"")</f>
        <v>3.3</v>
      </c>
    </row>
    <row r="29" customFormat="false" ht="21.75" hidden="false" customHeight="true" outlineLevel="0" collapsed="false">
      <c r="A29" s="91" t="str">
        <f aca="false">IFERROR('Quiet Scout Analysemodel'!A29,"")</f>
        <v>geld.nl</v>
      </c>
      <c r="B29" s="92" t="n">
        <f aca="false">IFERROR('Quiet Scout Analysemodel'!U29,"")</f>
        <v>2</v>
      </c>
      <c r="C29" s="92" t="n">
        <f aca="false">IFERROR(IF('Quiet Scout Analysemodel'!A29="","",ROUND(AVERAGE('Quiet Scout Analysemodel'!D29:L29),1)),"")</f>
        <v>4</v>
      </c>
      <c r="D29" s="92" t="n">
        <f aca="false">IFERROR(IF('Quiet Scout Analysemodel'!A29="","",ROUND(AVERAGE('Quiet Scout Analysemodel'!M29:P29),1)),"")</f>
        <v>5</v>
      </c>
      <c r="E29" s="92" t="n">
        <f aca="false">IFERROR(IF('Quiet Scout Analysemodel'!A29="","",ROUND(AVERAGE('Quiet Scout Analysemodel'!Q29:T29),1)),"")</f>
        <v>4</v>
      </c>
    </row>
    <row r="30" customFormat="false" ht="21.75" hidden="false" customHeight="true" outlineLevel="0" collapsed="false">
      <c r="A30" s="89" t="str">
        <f aca="false">IFERROR('Quiet Scout Analysemodel'!A30,"")</f>
        <v>skyscanner.nl</v>
      </c>
      <c r="B30" s="90" t="n">
        <f aca="false">IFERROR('Quiet Scout Analysemodel'!U30,"")</f>
        <v>2</v>
      </c>
      <c r="C30" s="90" t="n">
        <f aca="false">IFERROR(IF('Quiet Scout Analysemodel'!A30="","",ROUND(AVERAGE('Quiet Scout Analysemodel'!D30:L30),1)),"")</f>
        <v>3.3</v>
      </c>
      <c r="D30" s="90" t="n">
        <f aca="false">IFERROR(IF('Quiet Scout Analysemodel'!A30="","",ROUND(AVERAGE('Quiet Scout Analysemodel'!M30:P30),1)),"")</f>
        <v>4</v>
      </c>
      <c r="E30" s="90" t="n">
        <f aca="false">IFERROR(IF('Quiet Scout Analysemodel'!A30="","",ROUND(AVERAGE('Quiet Scout Analysemodel'!Q30:T30),1)),"")</f>
        <v>2.8</v>
      </c>
    </row>
    <row r="31" customFormat="false" ht="21.75" hidden="false" customHeight="true" outlineLevel="0" collapsed="false">
      <c r="A31" s="91" t="str">
        <f aca="false">IFERROR('Quiet Scout Analysemodel'!A31,"")</f>
        <v>zilverenkruis.nl</v>
      </c>
      <c r="B31" s="92" t="n">
        <f aca="false">IFERROR('Quiet Scout Analysemodel'!U31,"")</f>
        <v>3</v>
      </c>
      <c r="C31" s="92" t="n">
        <f aca="false">IFERROR(IF('Quiet Scout Analysemodel'!A31="","",ROUND(AVERAGE('Quiet Scout Analysemodel'!D31:L31),1)),"")</f>
        <v>3.3</v>
      </c>
      <c r="D31" s="92" t="n">
        <f aca="false">IFERROR(IF('Quiet Scout Analysemodel'!A31="","",ROUND(AVERAGE('Quiet Scout Analysemodel'!M31:P31),1)),"")</f>
        <v>4.3</v>
      </c>
      <c r="E31" s="92" t="n">
        <f aca="false">IFERROR(IF('Quiet Scout Analysemodel'!A31="","",ROUND(AVERAGE('Quiet Scout Analysemodel'!Q31:T31),1)),"")</f>
        <v>3.8</v>
      </c>
    </row>
    <row r="32" customFormat="false" ht="21.75" hidden="false" customHeight="true" outlineLevel="0" collapsed="false">
      <c r="A32" s="89" t="str">
        <f aca="false">IFERROR('Quiet Scout Analysemodel'!A32,"")</f>
        <v>werk.nl</v>
      </c>
      <c r="B32" s="90" t="n">
        <f aca="false">IFERROR('Quiet Scout Analysemodel'!U32,"")</f>
        <v>5</v>
      </c>
      <c r="C32" s="90" t="n">
        <f aca="false">IFERROR(IF('Quiet Scout Analysemodel'!A32="","",ROUND(AVERAGE('Quiet Scout Analysemodel'!D32:L32),1)),"")</f>
        <v>3.7</v>
      </c>
      <c r="D32" s="90" t="n">
        <f aca="false">IFERROR(IF('Quiet Scout Analysemodel'!A32="","",ROUND(AVERAGE('Quiet Scout Analysemodel'!M32:P32),1)),"")</f>
        <v>4.3</v>
      </c>
      <c r="E32" s="90" t="n">
        <f aca="false">IFERROR(IF('Quiet Scout Analysemodel'!A32="","",ROUND(AVERAGE('Quiet Scout Analysemodel'!Q32:T32),1)),"")</f>
        <v>4</v>
      </c>
    </row>
    <row r="33" customFormat="false" ht="21.75" hidden="false" customHeight="true" outlineLevel="0" collapsed="false">
      <c r="A33" s="91" t="str">
        <f aca="false">IFERROR('Quiet Scout Analysemodel'!A33,"")</f>
        <v>coolblue.nl</v>
      </c>
      <c r="B33" s="92" t="n">
        <f aca="false">IFERROR('Quiet Scout Analysemodel'!U33,"")</f>
        <v>1</v>
      </c>
      <c r="C33" s="92" t="n">
        <f aca="false">IFERROR(IF('Quiet Scout Analysemodel'!A33="","",ROUND(AVERAGE('Quiet Scout Analysemodel'!D33:L33),1)),"")</f>
        <v>1.9</v>
      </c>
      <c r="D33" s="92" t="n">
        <f aca="false">IFERROR(IF('Quiet Scout Analysemodel'!A33="","",ROUND(AVERAGE('Quiet Scout Analysemodel'!M33:P33),1)),"")</f>
        <v>2</v>
      </c>
      <c r="E33" s="92" t="n">
        <f aca="false">IFERROR(IF('Quiet Scout Analysemodel'!A33="","",ROUND(AVERAGE('Quiet Scout Analysemodel'!Q33:T33),1)),"")</f>
        <v>1.5</v>
      </c>
    </row>
    <row r="34" customFormat="false" ht="21.75" hidden="false" customHeight="true" outlineLevel="0" collapsed="false">
      <c r="A34" s="89" t="str">
        <f aca="false">IFERROR('Quiet Scout Analysemodel'!A34,"")</f>
        <v>thuisbezorgd.nl</v>
      </c>
      <c r="B34" s="90" t="n">
        <f aca="false">IFERROR('Quiet Scout Analysemodel'!U34,"")</f>
        <v>1</v>
      </c>
      <c r="C34" s="90" t="n">
        <f aca="false">IFERROR(IF('Quiet Scout Analysemodel'!A34="","",ROUND(AVERAGE('Quiet Scout Analysemodel'!D34:L34),1)),"")</f>
        <v>3</v>
      </c>
      <c r="D34" s="90" t="n">
        <f aca="false">IFERROR(IF('Quiet Scout Analysemodel'!A34="","",ROUND(AVERAGE('Quiet Scout Analysemodel'!M34:P34),1)),"")</f>
        <v>3.7</v>
      </c>
      <c r="E34" s="90" t="n">
        <f aca="false">IFERROR(IF('Quiet Scout Analysemodel'!A34="","",ROUND(AVERAGE('Quiet Scout Analysemodel'!Q34:T34),1)),"")</f>
        <v>1.8</v>
      </c>
    </row>
    <row r="35" customFormat="false" ht="21.75" hidden="false" customHeight="true" outlineLevel="0" collapsed="false">
      <c r="A35" s="91" t="str">
        <f aca="false">IFERROR('Quiet Scout Analysemodel'!A35,"")</f>
        <v>airbnb.nl</v>
      </c>
      <c r="B35" s="92" t="n">
        <f aca="false">IFERROR('Quiet Scout Analysemodel'!U35,"")</f>
        <v>2</v>
      </c>
      <c r="C35" s="92" t="n">
        <f aca="false">IFERROR(IF('Quiet Scout Analysemodel'!A35="","",ROUND(AVERAGE('Quiet Scout Analysemodel'!D35:L35),1)),"")</f>
        <v>3.4</v>
      </c>
      <c r="D35" s="92" t="n">
        <f aca="false">IFERROR(IF('Quiet Scout Analysemodel'!A35="","",ROUND(AVERAGE('Quiet Scout Analysemodel'!M35:P35),1)),"")</f>
        <v>4</v>
      </c>
      <c r="E35" s="92" t="n">
        <f aca="false">IFERROR(IF('Quiet Scout Analysemodel'!A35="","",ROUND(AVERAGE('Quiet Scout Analysemodel'!Q35:T35),1)),"")</f>
        <v>2.8</v>
      </c>
    </row>
    <row r="36" customFormat="false" ht="21.75" hidden="false" customHeight="true" outlineLevel="0" collapsed="false">
      <c r="A36" s="89" t="str">
        <f aca="false">IFERROR('Quiet Scout Analysemodel'!A36,"")</f>
        <v>linkedin.nl</v>
      </c>
      <c r="B36" s="90" t="n">
        <f aca="false">IFERROR('Quiet Scout Analysemodel'!U36,"")</f>
        <v>3</v>
      </c>
      <c r="C36" s="90" t="n">
        <f aca="false">IFERROR(IF('Quiet Scout Analysemodel'!A36="","",ROUND(AVERAGE('Quiet Scout Analysemodel'!D36:L36),1)),"")</f>
        <v>3.3</v>
      </c>
      <c r="D36" s="90" t="n">
        <f aca="false">IFERROR(IF('Quiet Scout Analysemodel'!A36="","",ROUND(AVERAGE('Quiet Scout Analysemodel'!M36:P36),1)),"")</f>
        <v>3.3</v>
      </c>
      <c r="E36" s="90" t="n">
        <f aca="false">IFERROR(IF('Quiet Scout Analysemodel'!A36="","",ROUND(AVERAGE('Quiet Scout Analysemodel'!Q36:T36),1)),"")</f>
        <v>2.5</v>
      </c>
    </row>
    <row r="37" customFormat="false" ht="21.75" hidden="false" customHeight="true" outlineLevel="0" collapsed="false">
      <c r="A37" s="91" t="str">
        <f aca="false">IFERROR('Quiet Scout Analysemodel'!A37,"")</f>
        <v>autoverzekering.nl</v>
      </c>
      <c r="B37" s="92" t="n">
        <f aca="false">IFERROR('Quiet Scout Analysemodel'!U37,"")</f>
        <v>2</v>
      </c>
      <c r="C37" s="92" t="n">
        <f aca="false">IFERROR(IF('Quiet Scout Analysemodel'!A37="","",ROUND(AVERAGE('Quiet Scout Analysemodel'!D37:L37),1)),"")</f>
        <v>3.7</v>
      </c>
      <c r="D37" s="92" t="n">
        <f aca="false">IFERROR(IF('Quiet Scout Analysemodel'!A37="","",ROUND(AVERAGE('Quiet Scout Analysemodel'!M37:P37),1)),"")</f>
        <v>4.3</v>
      </c>
      <c r="E37" s="92" t="n">
        <f aca="false">IFERROR(IF('Quiet Scout Analysemodel'!A37="","",ROUND(AVERAGE('Quiet Scout Analysemodel'!Q37:T37),1)),"")</f>
        <v>3.8</v>
      </c>
    </row>
    <row r="38" customFormat="false" ht="21.75" hidden="false" customHeight="true" outlineLevel="0" collapsed="false">
      <c r="A38" s="89" t="str">
        <f aca="false">IFERROR('Quiet Scout Analysemodel'!A38,"")</f>
        <v>amsterdam.nl</v>
      </c>
      <c r="B38" s="90" t="n">
        <f aca="false">IFERROR('Quiet Scout Analysemodel'!U38,"")</f>
        <v>2</v>
      </c>
      <c r="C38" s="90" t="n">
        <f aca="false">IFERROR(IF('Quiet Scout Analysemodel'!A38="","",ROUND(AVERAGE('Quiet Scout Analysemodel'!D38:L38),1)),"")</f>
        <v>3.1</v>
      </c>
      <c r="D38" s="90" t="n">
        <f aca="false">IFERROR(IF('Quiet Scout Analysemodel'!A38="","",ROUND(AVERAGE('Quiet Scout Analysemodel'!M38:P38),1)),"")</f>
        <v>3.7</v>
      </c>
      <c r="E38" s="90" t="n">
        <f aca="false">IFERROR(IF('Quiet Scout Analysemodel'!A38="","",ROUND(AVERAGE('Quiet Scout Analysemodel'!Q38:T38),1)),"")</f>
        <v>3</v>
      </c>
    </row>
    <row r="39" customFormat="false" ht="21.75" hidden="false" customHeight="true" outlineLevel="0" collapsed="false">
      <c r="A39" s="91" t="str">
        <f aca="false">IFERROR('Quiet Scout Analysemodel'!A39,"")</f>
        <v>gaspedaal.nl</v>
      </c>
      <c r="B39" s="92" t="n">
        <f aca="false">IFERROR('Quiet Scout Analysemodel'!U39,"")</f>
        <v>2</v>
      </c>
      <c r="C39" s="92" t="n">
        <f aca="false">IFERROR(IF('Quiet Scout Analysemodel'!A39="","",ROUND(AVERAGE('Quiet Scout Analysemodel'!D39:L39),1)),"")</f>
        <v>3.8</v>
      </c>
      <c r="D39" s="92" t="n">
        <f aca="false">IFERROR(IF('Quiet Scout Analysemodel'!A39="","",ROUND(AVERAGE('Quiet Scout Analysemodel'!M39:P39),1)),"")</f>
        <v>3.7</v>
      </c>
      <c r="E39" s="92" t="n">
        <f aca="false">IFERROR(IF('Quiet Scout Analysemodel'!A39="","",ROUND(AVERAGE('Quiet Scout Analysemodel'!Q39:T39),1)),"")</f>
        <v>4</v>
      </c>
    </row>
    <row r="40" customFormat="false" ht="21.75" hidden="false" customHeight="true" outlineLevel="0" collapsed="false">
      <c r="A40" s="89" t="str">
        <f aca="false">IFERROR('Quiet Scout Analysemodel'!A40,"")</f>
        <v>ikbenviisi.nl</v>
      </c>
      <c r="B40" s="90" t="n">
        <f aca="false">IFERROR('Quiet Scout Analysemodel'!U40,"")</f>
        <v>2</v>
      </c>
      <c r="C40" s="90" t="n">
        <f aca="false">IFERROR(IF('Quiet Scout Analysemodel'!A40="","",ROUND(AVERAGE('Quiet Scout Analysemodel'!D40:L40),1)),"")</f>
        <v>1.9</v>
      </c>
      <c r="D40" s="90" t="n">
        <f aca="false">IFERROR(IF('Quiet Scout Analysemodel'!A40="","",ROUND(AVERAGE('Quiet Scout Analysemodel'!M40:P40),1)),"")</f>
        <v>2.3</v>
      </c>
      <c r="E40" s="90" t="n">
        <f aca="false">IFERROR(IF('Quiet Scout Analysemodel'!A40="","",ROUND(AVERAGE('Quiet Scout Analysemodel'!Q40:T40),1)),"")</f>
        <v>4</v>
      </c>
    </row>
    <row r="41" customFormat="false" ht="21.75" hidden="false" customHeight="true" outlineLevel="0" collapsed="false">
      <c r="A41" s="91" t="str">
        <f aca="false">IFERROR('Quiet Scout Analysemodel'!A41,"")</f>
        <v>ah.nl</v>
      </c>
      <c r="B41" s="92" t="n">
        <f aca="false">IFERROR('Quiet Scout Analysemodel'!U41,"")</f>
        <v>1</v>
      </c>
      <c r="C41" s="92" t="n">
        <f aca="false">IFERROR(IF('Quiet Scout Analysemodel'!A41="","",ROUND(AVERAGE('Quiet Scout Analysemodel'!D41:L41),1)),"")</f>
        <v>2.3</v>
      </c>
      <c r="D41" s="92" t="n">
        <f aca="false">IFERROR(IF('Quiet Scout Analysemodel'!A41="","",ROUND(AVERAGE('Quiet Scout Analysemodel'!M41:P41),1)),"")</f>
        <v>2.3</v>
      </c>
      <c r="E41" s="92" t="n">
        <f aca="false">IFERROR(IF('Quiet Scout Analysemodel'!A41="","",ROUND(AVERAGE('Quiet Scout Analysemodel'!Q41:T41),1)),"")</f>
        <v>1.5</v>
      </c>
    </row>
    <row r="42" customFormat="false" ht="21.75" hidden="false" customHeight="true" outlineLevel="0" collapsed="false">
      <c r="A42" s="89" t="str">
        <f aca="false">IFERROR('Quiet Scout Analysemodel'!A42,"")</f>
        <v>kpn.com</v>
      </c>
      <c r="B42" s="90" t="n">
        <f aca="false">IFERROR('Quiet Scout Analysemodel'!U42,"")</f>
        <v>2</v>
      </c>
      <c r="C42" s="90" t="n">
        <f aca="false">IFERROR(IF('Quiet Scout Analysemodel'!A42="","",ROUND(AVERAGE('Quiet Scout Analysemodel'!D42:L42),1)),"")</f>
        <v>3.2</v>
      </c>
      <c r="D42" s="90" t="n">
        <f aca="false">IFERROR(IF('Quiet Scout Analysemodel'!A42="","",ROUND(AVERAGE('Quiet Scout Analysemodel'!M42:P42),1)),"")</f>
        <v>3.7</v>
      </c>
      <c r="E42" s="90" t="n">
        <f aca="false">IFERROR(IF('Quiet Scout Analysemodel'!A42="","",ROUND(AVERAGE('Quiet Scout Analysemodel'!Q42:T42),1)),"")</f>
        <v>2.8</v>
      </c>
    </row>
    <row r="43" customFormat="false" ht="21.75" hidden="false" customHeight="true" outlineLevel="0" collapsed="false">
      <c r="A43" s="91" t="str">
        <f aca="false">IFERROR('Quiet Scout Analysemodel'!A43,"")</f>
        <v>9292.nl</v>
      </c>
      <c r="B43" s="92" t="n">
        <f aca="false">IFERROR('Quiet Scout Analysemodel'!U43,"")</f>
        <v>1</v>
      </c>
      <c r="C43" s="92" t="n">
        <f aca="false">IFERROR(IF('Quiet Scout Analysemodel'!A43="","",ROUND(AVERAGE('Quiet Scout Analysemodel'!D43:L43),1)),"")</f>
        <v>2</v>
      </c>
      <c r="D43" s="92" t="n">
        <f aca="false">IFERROR(IF('Quiet Scout Analysemodel'!A43="","",ROUND(AVERAGE('Quiet Scout Analysemodel'!M43:P43),1)),"")</f>
        <v>2</v>
      </c>
      <c r="E43" s="92" t="n">
        <f aca="false">IFERROR(IF('Quiet Scout Analysemodel'!A43="","",ROUND(AVERAGE('Quiet Scout Analysemodel'!Q43:T43),1)),"")</f>
        <v>1.8</v>
      </c>
    </row>
    <row r="44" customFormat="false" ht="21.75" hidden="false" customHeight="true" outlineLevel="0" collapsed="false">
      <c r="A44" s="89" t="str">
        <f aca="false">IFERROR('Quiet Scout Analysemodel'!A44,"")</f>
        <v>toeslagen.nl</v>
      </c>
      <c r="B44" s="90" t="n">
        <f aca="false">IFERROR('Quiet Scout Analysemodel'!U44,"")</f>
        <v>5</v>
      </c>
      <c r="C44" s="90" t="n">
        <f aca="false">IFERROR(IF('Quiet Scout Analysemodel'!A44="","",ROUND(AVERAGE('Quiet Scout Analysemodel'!D44:L44),1)),"")</f>
        <v>3.1</v>
      </c>
      <c r="D44" s="90" t="n">
        <f aca="false">IFERROR(IF('Quiet Scout Analysemodel'!A44="","",ROUND(AVERAGE('Quiet Scout Analysemodel'!M44:P44),1)),"")</f>
        <v>4.5</v>
      </c>
      <c r="E44" s="90" t="n">
        <f aca="false">IFERROR(IF('Quiet Scout Analysemodel'!A44="","",ROUND(AVERAGE('Quiet Scout Analysemodel'!Q44:T44),1)),"")</f>
        <v>4.8</v>
      </c>
    </row>
    <row r="45" customFormat="false" ht="21.75" hidden="false" customHeight="true" outlineLevel="0" collapsed="false">
      <c r="A45" s="91" t="str">
        <f aca="false">IFERROR('Quiet Scout Analysemodel'!A45,"")</f>
        <v>mijnpensioenoverzicht.nl</v>
      </c>
      <c r="B45" s="92" t="n">
        <f aca="false">IFERROR('Quiet Scout Analysemodel'!U45,"")</f>
        <v>4</v>
      </c>
      <c r="C45" s="92" t="n">
        <f aca="false">IFERROR(IF('Quiet Scout Analysemodel'!A45="","",ROUND(AVERAGE('Quiet Scout Analysemodel'!D45:L45),1)),"")</f>
        <v>2.8</v>
      </c>
      <c r="D45" s="92" t="n">
        <f aca="false">IFERROR(IF('Quiet Scout Analysemodel'!A45="","",ROUND(AVERAGE('Quiet Scout Analysemodel'!M45:P45),1)),"")</f>
        <v>4</v>
      </c>
      <c r="E45" s="92" t="n">
        <f aca="false">IFERROR(IF('Quiet Scout Analysemodel'!A45="","",ROUND(AVERAGE('Quiet Scout Analysemodel'!Q45:T45),1)),"")</f>
        <v>4.3</v>
      </c>
    </row>
    <row r="46" customFormat="false" ht="21.75" hidden="false" customHeight="true" outlineLevel="0" collapsed="false">
      <c r="A46" s="89" t="str">
        <f aca="false">IFERROR('Quiet Scout Analysemodel'!A46,"")</f>
        <v>svb.nl</v>
      </c>
      <c r="B46" s="90" t="n">
        <f aca="false">IFERROR('Quiet Scout Analysemodel'!U46,"")</f>
        <v>4</v>
      </c>
      <c r="C46" s="90" t="n">
        <f aca="false">IFERROR(IF('Quiet Scout Analysemodel'!A46="","",ROUND(AVERAGE('Quiet Scout Analysemodel'!D46:L46),1)),"")</f>
        <v>3</v>
      </c>
      <c r="D46" s="90" t="n">
        <f aca="false">IFERROR(IF('Quiet Scout Analysemodel'!A46="","",ROUND(AVERAGE('Quiet Scout Analysemodel'!M46:P46),1)),"")</f>
        <v>4.3</v>
      </c>
      <c r="E46" s="90" t="n">
        <f aca="false">IFERROR(IF('Quiet Scout Analysemodel'!A46="","",ROUND(AVERAGE('Quiet Scout Analysemodel'!Q46:T46),1)),"")</f>
        <v>4.5</v>
      </c>
    </row>
    <row r="47" customFormat="false" ht="21.75" hidden="false" customHeight="true" outlineLevel="0" collapsed="false">
      <c r="A47" s="91" t="str">
        <f aca="false">IFERROR('Quiet Scout Analysemodel'!A47,"")</f>
        <v>rechtsbijstandverzekering.nl</v>
      </c>
      <c r="B47" s="92" t="n">
        <f aca="false">IFERROR('Quiet Scout Analysemodel'!U47,"")</f>
        <v>3</v>
      </c>
      <c r="C47" s="92" t="n">
        <f aca="false">IFERROR(IF('Quiet Scout Analysemodel'!A47="","",ROUND(AVERAGE('Quiet Scout Analysemodel'!D47:L47),1)),"")</f>
        <v>3.9</v>
      </c>
      <c r="D47" s="92" t="n">
        <f aca="false">IFERROR(IF('Quiet Scout Analysemodel'!A47="","",ROUND(AVERAGE('Quiet Scout Analysemodel'!M47:P47),1)),"")</f>
        <v>4.8</v>
      </c>
      <c r="E47" s="92" t="n">
        <f aca="false">IFERROR(IF('Quiet Scout Analysemodel'!A47="","",ROUND(AVERAGE('Quiet Scout Analysemodel'!Q47:T47),1)),"")</f>
        <v>4.3</v>
      </c>
    </row>
    <row r="48" customFormat="false" ht="21.75" hidden="false" customHeight="true" outlineLevel="0" collapsed="false">
      <c r="A48" s="89" t="str">
        <f aca="false">IFERROR('Quiet Scout Analysemodel'!A48,"")</f>
        <v>verzekering.nl</v>
      </c>
      <c r="B48" s="90" t="n">
        <f aca="false">IFERROR('Quiet Scout Analysemodel'!U48,"")</f>
        <v>2</v>
      </c>
      <c r="C48" s="90" t="n">
        <f aca="false">IFERROR(IF('Quiet Scout Analysemodel'!A48="","",ROUND(AVERAGE('Quiet Scout Analysemodel'!D48:L48),1)),"")</f>
        <v>4</v>
      </c>
      <c r="D48" s="90" t="n">
        <f aca="false">IFERROR(IF('Quiet Scout Analysemodel'!A48="","",ROUND(AVERAGE('Quiet Scout Analysemodel'!M48:P48),1)),"")</f>
        <v>4.8</v>
      </c>
      <c r="E48" s="90" t="n">
        <f aca="false">IFERROR(IF('Quiet Scout Analysemodel'!A48="","",ROUND(AVERAGE('Quiet Scout Analysemodel'!Q48:T48),1)),"")</f>
        <v>4</v>
      </c>
    </row>
    <row r="49" customFormat="false" ht="21.75" hidden="false" customHeight="true" outlineLevel="0" collapsed="false">
      <c r="A49" s="91" t="str">
        <f aca="false">IFERROR('Quiet Scout Analysemodel'!A49,"")</f>
        <v>regelhulp.nl</v>
      </c>
      <c r="B49" s="92" t="n">
        <f aca="false">IFERROR('Quiet Scout Analysemodel'!U49,"")</f>
        <v>5</v>
      </c>
      <c r="C49" s="92" t="n">
        <f aca="false">IFERROR(IF('Quiet Scout Analysemodel'!A49="","",ROUND(AVERAGE('Quiet Scout Analysemodel'!D49:L49),1)),"")</f>
        <v>2.9</v>
      </c>
      <c r="D49" s="92" t="n">
        <f aca="false">IFERROR(IF('Quiet Scout Analysemodel'!A49="","",ROUND(AVERAGE('Quiet Scout Analysemodel'!M49:P49),1)),"")</f>
        <v>4.5</v>
      </c>
      <c r="E49" s="92" t="n">
        <f aca="false">IFERROR(IF('Quiet Scout Analysemodel'!A49="","",ROUND(AVERAGE('Quiet Scout Analysemodel'!Q49:T49),1)),"")</f>
        <v>4.5</v>
      </c>
    </row>
    <row r="50" customFormat="false" ht="21.75" hidden="false" customHeight="true" outlineLevel="0" collapsed="false">
      <c r="A50" s="89" t="str">
        <f aca="false">IFERROR('Quiet Scout Analysemodel'!A50,"")</f>
        <v>svb.nl/pgb</v>
      </c>
      <c r="B50" s="90" t="n">
        <f aca="false">IFERROR('Quiet Scout Analysemodel'!U50,"")</f>
        <v>5</v>
      </c>
      <c r="C50" s="90" t="n">
        <f aca="false">IFERROR(IF('Quiet Scout Analysemodel'!A50="","",ROUND(AVERAGE('Quiet Scout Analysemodel'!D50:L50),1)),"")</f>
        <v>3</v>
      </c>
      <c r="D50" s="90" t="n">
        <f aca="false">IFERROR(IF('Quiet Scout Analysemodel'!A50="","",ROUND(AVERAGE('Quiet Scout Analysemodel'!M50:P50),1)),"")</f>
        <v>4.5</v>
      </c>
      <c r="E50" s="90" t="n">
        <f aca="false">IFERROR(IF('Quiet Scout Analysemodel'!A50="","",ROUND(AVERAGE('Quiet Scout Analysemodel'!Q50:T50),1)),"")</f>
        <v>4.5</v>
      </c>
    </row>
    <row r="51" customFormat="false" ht="21.75" hidden="false" customHeight="true" outlineLevel="0" collapsed="false">
      <c r="A51" s="91" t="str">
        <f aca="false">IFERROR('Quiet Scout Analysemodel'!A51,"")</f>
        <v>rdw.nl</v>
      </c>
      <c r="B51" s="92" t="n">
        <f aca="false">IFERROR('Quiet Scout Analysemodel'!U51,"")</f>
        <v>2</v>
      </c>
      <c r="C51" s="92" t="n">
        <f aca="false">IFERROR(IF('Quiet Scout Analysemodel'!A51="","",ROUND(AVERAGE('Quiet Scout Analysemodel'!D51:L51),1)),"")</f>
        <v>2.8</v>
      </c>
      <c r="D51" s="92" t="n">
        <f aca="false">IFERROR(IF('Quiet Scout Analysemodel'!A51="","",ROUND(AVERAGE('Quiet Scout Analysemodel'!M51:P51),1)),"")</f>
        <v>3</v>
      </c>
      <c r="E51" s="92" t="n">
        <f aca="false">IFERROR(IF('Quiet Scout Analysemodel'!A51="","",ROUND(AVERAGE('Quiet Scout Analysemodel'!Q51:T51),1)),"")</f>
        <v>3.3</v>
      </c>
    </row>
    <row r="52" customFormat="false" ht="21.75" hidden="false" customHeight="true" outlineLevel="0" collapsed="false">
      <c r="A52" s="89" t="str">
        <f aca="false">IFERROR('Quiet Scout Analysemodel'!A52,"")</f>
        <v>lelylaan.nl</v>
      </c>
      <c r="B52" s="90" t="n">
        <f aca="false">IFERROR('Quiet Scout Analysemodel'!U52,"")</f>
        <v>3</v>
      </c>
      <c r="C52" s="90" t="n">
        <f aca="false">IFERROR(IF('Quiet Scout Analysemodel'!A52="","",ROUND(AVERAGE('Quiet Scout Analysemodel'!D52:L52),1)),"")</f>
        <v>3.9</v>
      </c>
      <c r="D52" s="90" t="n">
        <f aca="false">IFERROR(IF('Quiet Scout Analysemodel'!A52="","",ROUND(AVERAGE('Quiet Scout Analysemodel'!M52:P52),1)),"")</f>
        <v>5</v>
      </c>
      <c r="E52" s="90" t="n">
        <f aca="false">IFERROR(IF('Quiet Scout Analysemodel'!A52="","",ROUND(AVERAGE('Quiet Scout Analysemodel'!Q52:T52),1)),"")</f>
        <v>4.8</v>
      </c>
    </row>
    <row r="53" customFormat="false" ht="21.75" hidden="false" customHeight="true" outlineLevel="0" collapsed="false">
      <c r="A53" s="91" t="str">
        <f aca="false">IFERROR('Quiet Scout Analysemodel'!A53,"")</f>
        <v>huurcommissie.nl</v>
      </c>
      <c r="B53" s="92" t="n">
        <f aca="false">IFERROR('Quiet Scout Analysemodel'!U53,"")</f>
        <v>4</v>
      </c>
      <c r="C53" s="92" t="n">
        <f aca="false">IFERROR(IF('Quiet Scout Analysemodel'!A53="","",ROUND(AVERAGE('Quiet Scout Analysemodel'!D53:L53),1)),"")</f>
        <v>2.9</v>
      </c>
      <c r="D53" s="92" t="n">
        <f aca="false">IFERROR(IF('Quiet Scout Analysemodel'!A53="","",ROUND(AVERAGE('Quiet Scout Analysemodel'!M53:P53),1)),"")</f>
        <v>4.5</v>
      </c>
      <c r="E53" s="92" t="n">
        <f aca="false">IFERROR(IF('Quiet Scout Analysemodel'!A53="","",ROUND(AVERAGE('Quiet Scout Analysemodel'!Q53:T53),1)),"")</f>
        <v>4.3</v>
      </c>
    </row>
    <row r="54" customFormat="false" ht="24" hidden="false" customHeight="true" outlineLevel="0" collapsed="false">
      <c r="A54" s="93" t="s">
        <v>868</v>
      </c>
      <c r="B54" s="94" t="n">
        <f aca="false">IFERROR(ROUND(AVERAGEIF(A4:A53,"&lt;&gt;""",B4:B53),1),"")</f>
        <v>2.7</v>
      </c>
      <c r="C54" s="94" t="n">
        <f aca="false">IFERROR(ROUND(AVERAGEIF(A4:A53,"&lt;&gt;""",C4:C53),1),"")</f>
        <v>3.2</v>
      </c>
      <c r="D54" s="94" t="n">
        <f aca="false">IFERROR(ROUND(AVERAGEIF(A4:A53,"&lt;&gt;""",D4:D53),1),"")</f>
        <v>3.9</v>
      </c>
      <c r="E54" s="94" t="n">
        <f aca="false">IFERROR(ROUND(AVERAGEIF(A4:A53,"&lt;&gt;""",E4:E53),1),"")</f>
        <v>3.4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2026-05-18T11:56:47Z</dcterms:created>
  <dc:creator>openpyxl</dc:creator>
  <dc:description/>
  <dc:language>en-US</dc:language>
  <cp:lastModifiedBy/>
  <dcterms:modified xsi:type="dcterms:W3CDTF">2026-05-18T14:25:11Z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